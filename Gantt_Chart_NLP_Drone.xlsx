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ianavelino/Desktop/Claude/"/>
    </mc:Choice>
  </mc:AlternateContent>
  <xr:revisionPtr revIDLastSave="0" documentId="8_{BDC4884D-0165-3A48-9CBA-B5D67D41B664}" xr6:coauthVersionLast="47" xr6:coauthVersionMax="47" xr10:uidLastSave="{00000000-0000-0000-0000-000000000000}"/>
  <bookViews>
    <workbookView xWindow="0" yWindow="760" windowWidth="30240" windowHeight="17580" xr2:uid="{00000000-000D-0000-FFFF-FFFF00000000}"/>
  </bookViews>
  <sheets>
    <sheet name="Gantt" sheetId="1" r:id="rId1"/>
    <sheet name="Task Details" sheetId="2" r:id="rId2"/>
    <sheet name="Decision Ga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E8" i="3" s="1"/>
  <c r="C8" i="3"/>
  <c r="D7" i="3"/>
  <c r="E7" i="3" s="1"/>
  <c r="C7" i="3"/>
  <c r="D6" i="3"/>
  <c r="E6" i="3" s="1"/>
  <c r="C6" i="3"/>
  <c r="D5" i="3"/>
  <c r="E5" i="3" s="1"/>
  <c r="C5" i="3"/>
  <c r="D4" i="3"/>
  <c r="E4" i="3" s="1"/>
  <c r="C4" i="3"/>
  <c r="E39" i="2"/>
  <c r="J38" i="2"/>
  <c r="L38" i="2" s="1"/>
  <c r="I38" i="2"/>
  <c r="H38" i="2"/>
  <c r="G38" i="2"/>
  <c r="F38" i="2"/>
  <c r="E38" i="2"/>
  <c r="D38" i="2"/>
  <c r="C38" i="2"/>
  <c r="J37" i="2"/>
  <c r="L37" i="2" s="1"/>
  <c r="I37" i="2"/>
  <c r="H37" i="2"/>
  <c r="G37" i="2"/>
  <c r="F37" i="2"/>
  <c r="E37" i="2"/>
  <c r="D37" i="2"/>
  <c r="C37" i="2"/>
  <c r="J36" i="2"/>
  <c r="L36" i="2" s="1"/>
  <c r="I36" i="2"/>
  <c r="H36" i="2"/>
  <c r="G36" i="2"/>
  <c r="F36" i="2"/>
  <c r="E36" i="2"/>
  <c r="D36" i="2"/>
  <c r="C36" i="2"/>
  <c r="K35" i="2"/>
  <c r="J35" i="2"/>
  <c r="L35" i="2" s="1"/>
  <c r="I35" i="2"/>
  <c r="H35" i="2"/>
  <c r="G35" i="2"/>
  <c r="F35" i="2"/>
  <c r="E35" i="2"/>
  <c r="D35" i="2"/>
  <c r="C35" i="2"/>
  <c r="K34" i="2"/>
  <c r="J34" i="2"/>
  <c r="L34" i="2" s="1"/>
  <c r="I34" i="2"/>
  <c r="H34" i="2"/>
  <c r="G34" i="2"/>
  <c r="F34" i="2"/>
  <c r="E34" i="2"/>
  <c r="D34" i="2"/>
  <c r="C34" i="2"/>
  <c r="K33" i="2"/>
  <c r="J33" i="2"/>
  <c r="L33" i="2" s="1"/>
  <c r="I33" i="2"/>
  <c r="H33" i="2"/>
  <c r="G33" i="2"/>
  <c r="F33" i="2"/>
  <c r="E33" i="2"/>
  <c r="D33" i="2"/>
  <c r="C33" i="2"/>
  <c r="K32" i="2"/>
  <c r="J32" i="2"/>
  <c r="L32" i="2" s="1"/>
  <c r="I32" i="2"/>
  <c r="H32" i="2"/>
  <c r="G32" i="2"/>
  <c r="F32" i="2"/>
  <c r="E32" i="2"/>
  <c r="D32" i="2"/>
  <c r="C32" i="2"/>
  <c r="K31" i="2"/>
  <c r="J31" i="2"/>
  <c r="L31" i="2" s="1"/>
  <c r="I31" i="2"/>
  <c r="H31" i="2"/>
  <c r="G31" i="2"/>
  <c r="F31" i="2"/>
  <c r="E31" i="2"/>
  <c r="D31" i="2"/>
  <c r="C31" i="2"/>
  <c r="K30" i="2"/>
  <c r="J30" i="2"/>
  <c r="L30" i="2" s="1"/>
  <c r="I30" i="2"/>
  <c r="H30" i="2"/>
  <c r="G30" i="2"/>
  <c r="F30" i="2"/>
  <c r="E30" i="2"/>
  <c r="D30" i="2"/>
  <c r="C30" i="2"/>
  <c r="K29" i="2"/>
  <c r="J29" i="2"/>
  <c r="L29" i="2" s="1"/>
  <c r="I29" i="2"/>
  <c r="H29" i="2"/>
  <c r="G29" i="2"/>
  <c r="F29" i="2"/>
  <c r="E29" i="2"/>
  <c r="D29" i="2"/>
  <c r="C29" i="2"/>
  <c r="K28" i="2"/>
  <c r="J28" i="2"/>
  <c r="L28" i="2" s="1"/>
  <c r="I28" i="2"/>
  <c r="H28" i="2"/>
  <c r="G28" i="2"/>
  <c r="F28" i="2"/>
  <c r="E28" i="2"/>
  <c r="D28" i="2"/>
  <c r="C28" i="2"/>
  <c r="K27" i="2"/>
  <c r="J27" i="2"/>
  <c r="L27" i="2" s="1"/>
  <c r="I27" i="2"/>
  <c r="H27" i="2"/>
  <c r="G27" i="2"/>
  <c r="F27" i="2"/>
  <c r="E27" i="2"/>
  <c r="D27" i="2"/>
  <c r="C27" i="2"/>
  <c r="K26" i="2"/>
  <c r="J26" i="2"/>
  <c r="L26" i="2" s="1"/>
  <c r="I26" i="2"/>
  <c r="H26" i="2"/>
  <c r="G26" i="2"/>
  <c r="F26" i="2"/>
  <c r="E26" i="2"/>
  <c r="D26" i="2"/>
  <c r="C26" i="2"/>
  <c r="K25" i="2"/>
  <c r="J25" i="2"/>
  <c r="L25" i="2" s="1"/>
  <c r="I25" i="2"/>
  <c r="H25" i="2"/>
  <c r="G25" i="2"/>
  <c r="F25" i="2"/>
  <c r="E25" i="2"/>
  <c r="D25" i="2"/>
  <c r="C25" i="2"/>
  <c r="K24" i="2"/>
  <c r="J24" i="2"/>
  <c r="L24" i="2" s="1"/>
  <c r="I24" i="2"/>
  <c r="H24" i="2"/>
  <c r="G24" i="2"/>
  <c r="F24" i="2"/>
  <c r="E24" i="2"/>
  <c r="D24" i="2"/>
  <c r="C24" i="2"/>
  <c r="J23" i="2"/>
  <c r="I23" i="2"/>
  <c r="H23" i="2"/>
  <c r="G23" i="2"/>
  <c r="F23" i="2"/>
  <c r="E23" i="2"/>
  <c r="D23" i="2"/>
  <c r="C23" i="2"/>
  <c r="J22" i="2"/>
  <c r="L22" i="2" s="1"/>
  <c r="I22" i="2"/>
  <c r="H22" i="2"/>
  <c r="G22" i="2"/>
  <c r="F22" i="2"/>
  <c r="E22" i="2"/>
  <c r="D22" i="2"/>
  <c r="C22" i="2"/>
  <c r="J21" i="2"/>
  <c r="L21" i="2" s="1"/>
  <c r="I21" i="2"/>
  <c r="H21" i="2"/>
  <c r="G21" i="2"/>
  <c r="F21" i="2"/>
  <c r="E21" i="2"/>
  <c r="D21" i="2"/>
  <c r="C21" i="2"/>
  <c r="J20" i="2"/>
  <c r="L20" i="2" s="1"/>
  <c r="I20" i="2"/>
  <c r="H20" i="2"/>
  <c r="G20" i="2"/>
  <c r="F20" i="2"/>
  <c r="E20" i="2"/>
  <c r="D20" i="2"/>
  <c r="C20" i="2"/>
  <c r="J19" i="2"/>
  <c r="L19" i="2" s="1"/>
  <c r="I19" i="2"/>
  <c r="H19" i="2"/>
  <c r="G19" i="2"/>
  <c r="F19" i="2"/>
  <c r="E19" i="2"/>
  <c r="D19" i="2"/>
  <c r="C19" i="2"/>
  <c r="J18" i="2"/>
  <c r="L18" i="2" s="1"/>
  <c r="I18" i="2"/>
  <c r="H18" i="2"/>
  <c r="G18" i="2"/>
  <c r="F18" i="2"/>
  <c r="E18" i="2"/>
  <c r="D18" i="2"/>
  <c r="C18" i="2"/>
  <c r="J17" i="2"/>
  <c r="L17" i="2" s="1"/>
  <c r="I17" i="2"/>
  <c r="H17" i="2"/>
  <c r="G17" i="2"/>
  <c r="F17" i="2"/>
  <c r="E17" i="2"/>
  <c r="D17" i="2"/>
  <c r="C17" i="2"/>
  <c r="J16" i="2"/>
  <c r="L16" i="2" s="1"/>
  <c r="I16" i="2"/>
  <c r="H16" i="2"/>
  <c r="G16" i="2"/>
  <c r="F16" i="2"/>
  <c r="E16" i="2"/>
  <c r="D16" i="2"/>
  <c r="C16" i="2"/>
  <c r="J15" i="2"/>
  <c r="L15" i="2" s="1"/>
  <c r="I15" i="2"/>
  <c r="H15" i="2"/>
  <c r="G15" i="2"/>
  <c r="F15" i="2"/>
  <c r="E15" i="2"/>
  <c r="D15" i="2"/>
  <c r="C15" i="2"/>
  <c r="J14" i="2"/>
  <c r="L14" i="2" s="1"/>
  <c r="I14" i="2"/>
  <c r="H14" i="2"/>
  <c r="G14" i="2"/>
  <c r="F14" i="2"/>
  <c r="E14" i="2"/>
  <c r="D14" i="2"/>
  <c r="C14" i="2"/>
  <c r="J13" i="2"/>
  <c r="L13" i="2" s="1"/>
  <c r="I13" i="2"/>
  <c r="H13" i="2"/>
  <c r="G13" i="2"/>
  <c r="F13" i="2"/>
  <c r="E13" i="2"/>
  <c r="D13" i="2"/>
  <c r="C13" i="2"/>
  <c r="J12" i="2"/>
  <c r="L12" i="2" s="1"/>
  <c r="I12" i="2"/>
  <c r="H12" i="2"/>
  <c r="G12" i="2"/>
  <c r="F12" i="2"/>
  <c r="E12" i="2"/>
  <c r="D12" i="2"/>
  <c r="C12" i="2"/>
  <c r="J11" i="2"/>
  <c r="L11" i="2" s="1"/>
  <c r="I11" i="2"/>
  <c r="H11" i="2"/>
  <c r="G11" i="2"/>
  <c r="F11" i="2"/>
  <c r="E11" i="2"/>
  <c r="D11" i="2"/>
  <c r="C11" i="2"/>
  <c r="J10" i="2"/>
  <c r="L10" i="2" s="1"/>
  <c r="I10" i="2"/>
  <c r="H10" i="2"/>
  <c r="G10" i="2"/>
  <c r="F10" i="2"/>
  <c r="E10" i="2"/>
  <c r="D10" i="2"/>
  <c r="C10" i="2"/>
  <c r="J9" i="2"/>
  <c r="L9" i="2" s="1"/>
  <c r="I9" i="2"/>
  <c r="H9" i="2"/>
  <c r="G9" i="2"/>
  <c r="F9" i="2"/>
  <c r="E9" i="2"/>
  <c r="D9" i="2"/>
  <c r="C9" i="2"/>
  <c r="J8" i="2"/>
  <c r="I8" i="2"/>
  <c r="H8" i="2"/>
  <c r="G8" i="2"/>
  <c r="F8" i="2"/>
  <c r="E8" i="2"/>
  <c r="D8" i="2"/>
  <c r="C8" i="2"/>
  <c r="J7" i="2"/>
  <c r="I7" i="2"/>
  <c r="H7" i="2"/>
  <c r="G7" i="2"/>
  <c r="F7" i="2"/>
  <c r="E7" i="2"/>
  <c r="D7" i="2"/>
  <c r="C7" i="2"/>
  <c r="J6" i="2"/>
  <c r="I6" i="2"/>
  <c r="H6" i="2"/>
  <c r="G6" i="2"/>
  <c r="F6" i="2"/>
  <c r="E6" i="2"/>
  <c r="D6" i="2"/>
  <c r="C6" i="2"/>
  <c r="J5" i="2"/>
  <c r="I5" i="2"/>
  <c r="H5" i="2"/>
  <c r="G5" i="2"/>
  <c r="F5" i="2"/>
  <c r="E5" i="2"/>
  <c r="D5" i="2"/>
  <c r="C5" i="2"/>
  <c r="J4" i="2"/>
  <c r="I4" i="2"/>
  <c r="H4" i="2"/>
  <c r="G4" i="2"/>
  <c r="F4" i="2"/>
  <c r="E4" i="2"/>
  <c r="D4" i="2"/>
  <c r="C4" i="2"/>
  <c r="E100" i="1"/>
  <c r="I99" i="1"/>
  <c r="K38" i="2" s="1"/>
  <c r="H99" i="1"/>
  <c r="D99" i="1"/>
  <c r="BH98" i="1"/>
  <c r="BG98" i="1"/>
  <c r="BF98" i="1"/>
  <c r="BE98" i="1"/>
  <c r="BD98" i="1"/>
  <c r="BC98" i="1"/>
  <c r="BB98" i="1"/>
  <c r="BA98" i="1"/>
  <c r="AZ98" i="1"/>
  <c r="AY98" i="1"/>
  <c r="AX98" i="1"/>
  <c r="AW98" i="1"/>
  <c r="AV98" i="1"/>
  <c r="AU98" i="1"/>
  <c r="AT98" i="1"/>
  <c r="AS98" i="1"/>
  <c r="AR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H98" i="1"/>
  <c r="I97" i="1"/>
  <c r="K37" i="2" s="1"/>
  <c r="H97" i="1"/>
  <c r="D97" i="1"/>
  <c r="BH96" i="1"/>
  <c r="BG96" i="1"/>
  <c r="BF96" i="1"/>
  <c r="BE96" i="1"/>
  <c r="BD96" i="1"/>
  <c r="BC96" i="1"/>
  <c r="BB96" i="1"/>
  <c r="BA96" i="1"/>
  <c r="AZ96" i="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H96" i="1"/>
  <c r="I95" i="1"/>
  <c r="K36" i="2" s="1"/>
  <c r="H95" i="1"/>
  <c r="D95" i="1"/>
  <c r="BH94" i="1"/>
  <c r="BG94" i="1"/>
  <c r="BF94" i="1"/>
  <c r="BE94" i="1"/>
  <c r="BD94" i="1"/>
  <c r="BC94" i="1"/>
  <c r="BB94" i="1"/>
  <c r="BA94" i="1"/>
  <c r="AZ94" i="1"/>
  <c r="AY94" i="1"/>
  <c r="AX94" i="1"/>
  <c r="AW94" i="1"/>
  <c r="AV94" i="1"/>
  <c r="AU94" i="1"/>
  <c r="AT94" i="1"/>
  <c r="AS94"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H94" i="1"/>
  <c r="I93" i="1"/>
  <c r="H93" i="1"/>
  <c r="D93" i="1"/>
  <c r="BH92" i="1"/>
  <c r="BG92" i="1"/>
  <c r="BF92" i="1"/>
  <c r="BE92" i="1"/>
  <c r="BD92" i="1"/>
  <c r="BC92" i="1"/>
  <c r="BB92" i="1"/>
  <c r="BA92"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H92" i="1"/>
  <c r="G91" i="1"/>
  <c r="I91" i="1" s="1"/>
  <c r="F91" i="1"/>
  <c r="H91" i="1" s="1"/>
  <c r="E91" i="1"/>
  <c r="G90" i="1"/>
  <c r="H90" i="1" s="1"/>
  <c r="F90" i="1"/>
  <c r="E90" i="1"/>
  <c r="I88" i="1"/>
  <c r="H88" i="1"/>
  <c r="D88" i="1"/>
  <c r="BH87" i="1"/>
  <c r="BG87" i="1"/>
  <c r="BF87" i="1"/>
  <c r="BE87" i="1"/>
  <c r="BD87" i="1"/>
  <c r="BC87" i="1"/>
  <c r="BB87" i="1"/>
  <c r="BA87" i="1"/>
  <c r="AZ87"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H87" i="1"/>
  <c r="I86" i="1"/>
  <c r="H86" i="1"/>
  <c r="D86" i="1"/>
  <c r="BH85" i="1"/>
  <c r="BG85" i="1"/>
  <c r="BF85" i="1"/>
  <c r="BE85" i="1"/>
  <c r="BD85" i="1"/>
  <c r="BC85" i="1"/>
  <c r="BB85" i="1"/>
  <c r="BA85" i="1"/>
  <c r="AZ85" i="1"/>
  <c r="AY85" i="1"/>
  <c r="AX85" i="1"/>
  <c r="AW85" i="1"/>
  <c r="AV85" i="1"/>
  <c r="AU85" i="1"/>
  <c r="AT85" i="1"/>
  <c r="AS85"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H85" i="1"/>
  <c r="I84" i="1"/>
  <c r="H84" i="1"/>
  <c r="D84" i="1"/>
  <c r="BH83" i="1"/>
  <c r="BG83" i="1"/>
  <c r="BF83" i="1"/>
  <c r="BE83" i="1"/>
  <c r="BD83" i="1"/>
  <c r="BC83" i="1"/>
  <c r="BB83" i="1"/>
  <c r="BA83" i="1"/>
  <c r="AZ83" i="1"/>
  <c r="AY83" i="1"/>
  <c r="AX83" i="1"/>
  <c r="AW83" i="1"/>
  <c r="AV83" i="1"/>
  <c r="AU83" i="1"/>
  <c r="AT83" i="1"/>
  <c r="AS83"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H83" i="1"/>
  <c r="G82" i="1"/>
  <c r="I82" i="1" s="1"/>
  <c r="F82" i="1"/>
  <c r="H82" i="1" s="1"/>
  <c r="E82" i="1"/>
  <c r="G81" i="1"/>
  <c r="H81" i="1" s="1"/>
  <c r="F81" i="1"/>
  <c r="E81" i="1"/>
  <c r="I80" i="1"/>
  <c r="H80" i="1"/>
  <c r="D80" i="1"/>
  <c r="BH79" i="1"/>
  <c r="BG79" i="1"/>
  <c r="BF79" i="1"/>
  <c r="BE79" i="1"/>
  <c r="BD79" i="1"/>
  <c r="BC79" i="1"/>
  <c r="BB79" i="1"/>
  <c r="BA79" i="1"/>
  <c r="AZ79" i="1"/>
  <c r="AY79" i="1"/>
  <c r="AX79" i="1"/>
  <c r="AW79" i="1"/>
  <c r="AV79"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H79" i="1"/>
  <c r="I78" i="1"/>
  <c r="H78" i="1"/>
  <c r="D78" i="1"/>
  <c r="BH77" i="1"/>
  <c r="BG77" i="1"/>
  <c r="BF77" i="1"/>
  <c r="BE77" i="1"/>
  <c r="BD77" i="1"/>
  <c r="BC77" i="1"/>
  <c r="BB77" i="1"/>
  <c r="BA77" i="1"/>
  <c r="AZ77" i="1"/>
  <c r="AY77" i="1"/>
  <c r="AX77" i="1"/>
  <c r="AW77" i="1"/>
  <c r="AV77" i="1"/>
  <c r="AU77" i="1"/>
  <c r="AT77" i="1"/>
  <c r="AS77"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H77" i="1"/>
  <c r="I76" i="1"/>
  <c r="H76" i="1"/>
  <c r="D76" i="1"/>
  <c r="BH75" i="1"/>
  <c r="BG75" i="1"/>
  <c r="BF75" i="1"/>
  <c r="BE75" i="1"/>
  <c r="BD75" i="1"/>
  <c r="BC75" i="1"/>
  <c r="BB75" i="1"/>
  <c r="BA75" i="1"/>
  <c r="AZ75" i="1"/>
  <c r="AY75" i="1"/>
  <c r="AX75" i="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H75" i="1"/>
  <c r="G74" i="1"/>
  <c r="I74" i="1" s="1"/>
  <c r="F74" i="1"/>
  <c r="H74" i="1" s="1"/>
  <c r="E74" i="1"/>
  <c r="G73" i="1"/>
  <c r="H73" i="1" s="1"/>
  <c r="F73" i="1"/>
  <c r="E73" i="1"/>
  <c r="I72" i="1"/>
  <c r="H72" i="1"/>
  <c r="D72" i="1"/>
  <c r="BH71" i="1"/>
  <c r="BG71" i="1"/>
  <c r="BF71" i="1"/>
  <c r="BE71" i="1"/>
  <c r="BD71" i="1"/>
  <c r="BC71" i="1"/>
  <c r="BB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H71" i="1"/>
  <c r="I70" i="1"/>
  <c r="H70" i="1"/>
  <c r="D70" i="1"/>
  <c r="BH69" i="1"/>
  <c r="BG69" i="1"/>
  <c r="BF69" i="1"/>
  <c r="BE69" i="1"/>
  <c r="BD69" i="1"/>
  <c r="BC69" i="1"/>
  <c r="BB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H69" i="1"/>
  <c r="I68" i="1"/>
  <c r="H68" i="1"/>
  <c r="D68"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H67" i="1"/>
  <c r="I66" i="1"/>
  <c r="H66" i="1"/>
  <c r="D66" i="1"/>
  <c r="BH65" i="1"/>
  <c r="BG65" i="1"/>
  <c r="BF65" i="1"/>
  <c r="BE65" i="1"/>
  <c r="BD65" i="1"/>
  <c r="BC65" i="1"/>
  <c r="BB65" i="1"/>
  <c r="BA65" i="1"/>
  <c r="AZ65" i="1"/>
  <c r="AY65" i="1"/>
  <c r="AX65" i="1"/>
  <c r="AW65" i="1"/>
  <c r="AV65" i="1"/>
  <c r="AU65" i="1"/>
  <c r="AT65" i="1"/>
  <c r="AS65"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H65" i="1"/>
  <c r="G64" i="1"/>
  <c r="I64" i="1" s="1"/>
  <c r="F64" i="1"/>
  <c r="H64" i="1" s="1"/>
  <c r="E64" i="1"/>
  <c r="G63" i="1"/>
  <c r="H63" i="1" s="1"/>
  <c r="F63" i="1"/>
  <c r="E63" i="1"/>
  <c r="I62" i="1"/>
  <c r="H62" i="1"/>
  <c r="D62" i="1"/>
  <c r="BH61" i="1"/>
  <c r="BG61" i="1"/>
  <c r="BF61" i="1"/>
  <c r="BE61" i="1"/>
  <c r="BD61" i="1"/>
  <c r="BC61"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H61" i="1"/>
  <c r="I60" i="1"/>
  <c r="K23" i="2" s="1"/>
  <c r="H60" i="1"/>
  <c r="D60" i="1"/>
  <c r="BH59" i="1"/>
  <c r="BG59" i="1"/>
  <c r="BF59" i="1"/>
  <c r="BE59" i="1"/>
  <c r="BD59" i="1"/>
  <c r="BC59" i="1"/>
  <c r="BB59" i="1"/>
  <c r="BA59" i="1"/>
  <c r="AZ59" i="1"/>
  <c r="AY59" i="1"/>
  <c r="AX59" i="1"/>
  <c r="AW59" i="1"/>
  <c r="AV59" i="1"/>
  <c r="AU59" i="1"/>
  <c r="AT59" i="1"/>
  <c r="AS59"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H59" i="1"/>
  <c r="G58" i="1"/>
  <c r="I58" i="1" s="1"/>
  <c r="F58" i="1"/>
  <c r="E58" i="1"/>
  <c r="G57" i="1"/>
  <c r="F57" i="1"/>
  <c r="E57" i="1"/>
  <c r="I55" i="1"/>
  <c r="K22" i="2" s="1"/>
  <c r="H55" i="1"/>
  <c r="D55" i="1"/>
  <c r="BH54" i="1"/>
  <c r="BG54" i="1"/>
  <c r="BF54" i="1"/>
  <c r="BE54" i="1"/>
  <c r="BD54" i="1"/>
  <c r="BC54" i="1"/>
  <c r="BB54" i="1"/>
  <c r="BA54" i="1"/>
  <c r="AZ54" i="1"/>
  <c r="AY54" i="1"/>
  <c r="AX54" i="1"/>
  <c r="AW54" i="1"/>
  <c r="AV54" i="1"/>
  <c r="AU54" i="1"/>
  <c r="AT54" i="1"/>
  <c r="AS54"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H54" i="1"/>
  <c r="I53" i="1"/>
  <c r="K21" i="2" s="1"/>
  <c r="H53" i="1"/>
  <c r="D53" i="1"/>
  <c r="BH52" i="1"/>
  <c r="BG52" i="1"/>
  <c r="BF52" i="1"/>
  <c r="BE52" i="1"/>
  <c r="BD52" i="1"/>
  <c r="BC52" i="1"/>
  <c r="BB52" i="1"/>
  <c r="BA52"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H52" i="1"/>
  <c r="G51" i="1"/>
  <c r="I51" i="1" s="1"/>
  <c r="F51" i="1"/>
  <c r="H51" i="1" s="1"/>
  <c r="E51" i="1"/>
  <c r="G50" i="1"/>
  <c r="H50" i="1" s="1"/>
  <c r="F50" i="1"/>
  <c r="E50" i="1"/>
  <c r="I49" i="1"/>
  <c r="K20" i="2" s="1"/>
  <c r="H49" i="1"/>
  <c r="D49" i="1"/>
  <c r="BH48" i="1"/>
  <c r="BG48" i="1"/>
  <c r="BF48" i="1"/>
  <c r="BE48" i="1"/>
  <c r="BD48" i="1"/>
  <c r="BC48" i="1"/>
  <c r="BB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H48" i="1"/>
  <c r="I47" i="1"/>
  <c r="K19" i="2" s="1"/>
  <c r="H47" i="1"/>
  <c r="D47" i="1"/>
  <c r="BH46" i="1"/>
  <c r="BG46" i="1"/>
  <c r="BF46" i="1"/>
  <c r="BE46" i="1"/>
  <c r="BD46" i="1"/>
  <c r="BC46" i="1"/>
  <c r="BB46" i="1"/>
  <c r="BA46" i="1"/>
  <c r="AZ46" i="1"/>
  <c r="AY46" i="1"/>
  <c r="AX46" i="1"/>
  <c r="AW46" i="1"/>
  <c r="AV46" i="1"/>
  <c r="AU46" i="1"/>
  <c r="AT46" i="1"/>
  <c r="AS46"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H46" i="1"/>
  <c r="I45" i="1"/>
  <c r="K18" i="2" s="1"/>
  <c r="H45" i="1"/>
  <c r="D45" i="1"/>
  <c r="BH44" i="1"/>
  <c r="BG44" i="1"/>
  <c r="BF44" i="1"/>
  <c r="BE44" i="1"/>
  <c r="BD44" i="1"/>
  <c r="BC44" i="1"/>
  <c r="BB44" i="1"/>
  <c r="BA44"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H44" i="1"/>
  <c r="I43" i="1"/>
  <c r="K17" i="2" s="1"/>
  <c r="H43" i="1"/>
  <c r="D43"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H42" i="1"/>
  <c r="G41" i="1"/>
  <c r="I41" i="1" s="1"/>
  <c r="F41" i="1"/>
  <c r="H41" i="1" s="1"/>
  <c r="E41" i="1"/>
  <c r="G40" i="1"/>
  <c r="H40" i="1" s="1"/>
  <c r="F40" i="1"/>
  <c r="E40" i="1"/>
  <c r="I39" i="1"/>
  <c r="K16" i="2" s="1"/>
  <c r="H39" i="1"/>
  <c r="D39" i="1"/>
  <c r="BH38" i="1"/>
  <c r="BG38" i="1"/>
  <c r="BF38" i="1"/>
  <c r="BE38" i="1"/>
  <c r="BD38" i="1"/>
  <c r="BC38"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H38" i="1"/>
  <c r="I37" i="1"/>
  <c r="K15" i="2" s="1"/>
  <c r="H37" i="1"/>
  <c r="D37" i="1"/>
  <c r="BH36" i="1"/>
  <c r="BG36" i="1"/>
  <c r="BF36" i="1"/>
  <c r="BE36" i="1"/>
  <c r="BD36" i="1"/>
  <c r="BC36" i="1"/>
  <c r="BB36" i="1"/>
  <c r="BA36"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H36" i="1"/>
  <c r="I35" i="1"/>
  <c r="K14" i="2" s="1"/>
  <c r="H35" i="1"/>
  <c r="D35" i="1"/>
  <c r="BH34" i="1"/>
  <c r="BG34" i="1"/>
  <c r="BF34" i="1"/>
  <c r="BE34" i="1"/>
  <c r="BD34" i="1"/>
  <c r="BC34" i="1"/>
  <c r="BB34" i="1"/>
  <c r="BA34" i="1"/>
  <c r="AZ34" i="1"/>
  <c r="AY34" i="1"/>
  <c r="AX34" i="1"/>
  <c r="AW34" i="1"/>
  <c r="AV34" i="1"/>
  <c r="AU34" i="1"/>
  <c r="AT34" i="1"/>
  <c r="AS34"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H34" i="1"/>
  <c r="G33" i="1"/>
  <c r="I33" i="1" s="1"/>
  <c r="F33" i="1"/>
  <c r="H33" i="1" s="1"/>
  <c r="E33" i="1"/>
  <c r="G32" i="1"/>
  <c r="H32" i="1" s="1"/>
  <c r="F32" i="1"/>
  <c r="E32" i="1"/>
  <c r="I31" i="1"/>
  <c r="K13" i="2" s="1"/>
  <c r="H31" i="1"/>
  <c r="D31"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H30" i="1"/>
  <c r="I29" i="1"/>
  <c r="K12" i="2" s="1"/>
  <c r="H29" i="1"/>
  <c r="D29"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H28" i="1"/>
  <c r="I27" i="1"/>
  <c r="K11" i="2" s="1"/>
  <c r="H27" i="1"/>
  <c r="D27" i="1"/>
  <c r="BH26" i="1"/>
  <c r="BG26" i="1"/>
  <c r="BF26" i="1"/>
  <c r="BE26" i="1"/>
  <c r="BD26" i="1"/>
  <c r="BC26" i="1"/>
  <c r="BB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H26" i="1"/>
  <c r="I25" i="1"/>
  <c r="K10" i="2" s="1"/>
  <c r="H25" i="1"/>
  <c r="D25"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H24" i="1"/>
  <c r="I23" i="1"/>
  <c r="K9" i="2" s="1"/>
  <c r="H23" i="1"/>
  <c r="D23"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H22" i="1"/>
  <c r="I21" i="1"/>
  <c r="K8" i="2" s="1"/>
  <c r="H21" i="1"/>
  <c r="D21"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H20" i="1"/>
  <c r="G19" i="1"/>
  <c r="I19" i="1" s="1"/>
  <c r="F19" i="1"/>
  <c r="E19" i="1"/>
  <c r="G18" i="1"/>
  <c r="F18" i="1"/>
  <c r="E18" i="1"/>
  <c r="I17" i="1"/>
  <c r="K7" i="2" s="1"/>
  <c r="H17" i="1"/>
  <c r="D17"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H16" i="1"/>
  <c r="I15" i="1"/>
  <c r="K6" i="2" s="1"/>
  <c r="H15" i="1"/>
  <c r="D15" i="1"/>
  <c r="BH14" i="1"/>
  <c r="BG14" i="1"/>
  <c r="BF14" i="1"/>
  <c r="BE14" i="1"/>
  <c r="BD14" i="1"/>
  <c r="BC14" i="1"/>
  <c r="BB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H14" i="1"/>
  <c r="I13" i="1"/>
  <c r="K5" i="2" s="1"/>
  <c r="H13" i="1"/>
  <c r="D13"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H12" i="1"/>
  <c r="I11" i="1"/>
  <c r="K4" i="2" s="1"/>
  <c r="H11" i="1"/>
  <c r="D11" i="1"/>
  <c r="E101" i="1" s="1"/>
  <c r="BH10"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H10" i="1"/>
  <c r="G9" i="1"/>
  <c r="F9" i="1"/>
  <c r="E9" i="1"/>
  <c r="G8" i="1"/>
  <c r="F8" i="1"/>
  <c r="E8" i="1"/>
  <c r="L23" i="2" l="1"/>
  <c r="H58" i="1"/>
  <c r="H57" i="1"/>
  <c r="H19" i="1"/>
  <c r="G100" i="1"/>
  <c r="L8" i="2"/>
  <c r="H18" i="1"/>
  <c r="L7" i="2"/>
  <c r="L6" i="2"/>
  <c r="L5" i="2"/>
  <c r="H39" i="2"/>
  <c r="H9" i="1"/>
  <c r="I9" i="1"/>
  <c r="G101" i="1"/>
  <c r="L4" i="2"/>
  <c r="L39" i="2" s="1"/>
  <c r="H8" i="1"/>
</calcChain>
</file>

<file path=xl/sharedStrings.xml><?xml version="1.0" encoding="utf-8"?>
<sst xmlns="http://schemas.openxmlformats.org/spreadsheetml/2006/main" count="542" uniqueCount="218">
  <si>
    <t>Natural-Language Control of a Sub-250g Drone — Planned vs Actual Gantt (50 Working Days)</t>
  </si>
  <si>
    <t>Each task has two layers: PLAN (top) and ACTUAL (bottom). Edit the BLUE cells — on Plan rows: Strand, Effort, Start, End, Gate; on Actual rows: hours spent, actual Start and End. Everything else updates itself.</t>
  </si>
  <si>
    <t>Current project day  →  yellow box (1–50)</t>
  </si>
  <si>
    <t>drives the amber in-progress bars and the gold header marker</t>
  </si>
  <si>
    <t>Ref</t>
  </si>
  <si>
    <t>Task</t>
  </si>
  <si>
    <t>Layer</t>
  </si>
  <si>
    <t>Strand</t>
  </si>
  <si>
    <t>Effort (hrs)</t>
  </si>
  <si>
    <t>Start Day</t>
  </si>
  <si>
    <t>End Day</t>
  </si>
  <si>
    <t>Dur (days)</t>
  </si>
  <si>
    <t>Var (days)</t>
  </si>
  <si>
    <t>Gate</t>
  </si>
  <si>
    <t>Week 1</t>
  </si>
  <si>
    <t>Week 2</t>
  </si>
  <si>
    <t>Week 3</t>
  </si>
  <si>
    <t>Week 4</t>
  </si>
  <si>
    <t>Week 5</t>
  </si>
  <si>
    <t>Week 6</t>
  </si>
  <si>
    <t>Week 7</t>
  </si>
  <si>
    <t>Week 8</t>
  </si>
  <si>
    <t>Week 9</t>
  </si>
  <si>
    <t>Week 10</t>
  </si>
  <si>
    <t>HARDWARE / CONTROL STRAND (critical path)</t>
  </si>
  <si>
    <t>T1</t>
  </si>
  <si>
    <t>Requirements, architecture &amp; BOM</t>
  </si>
  <si>
    <t>Plan</t>
  </si>
  <si>
    <t>Summary</t>
  </si>
  <si>
    <t>actual</t>
  </si>
  <si>
    <t>Actual</t>
  </si>
  <si>
    <t>T1.1</t>
  </si>
  <si>
    <t>Finalise system &amp; software block diagrams</t>
  </si>
  <si>
    <t>Critical</t>
  </si>
  <si>
    <t>T1.2</t>
  </si>
  <si>
    <t>Finalise BOM, check budget, place orders</t>
  </si>
  <si>
    <t>T1.3</t>
  </si>
  <si>
    <t>Risk assessment form + book indoor test space</t>
  </si>
  <si>
    <t>T1.4</t>
  </si>
  <si>
    <t>Supervisor review of Project Outline</t>
  </si>
  <si>
    <t>G1</t>
  </si>
  <si>
    <t>T5</t>
  </si>
  <si>
    <t>Build &amp; configure drone</t>
  </si>
  <si>
    <t>T5.1</t>
  </si>
  <si>
    <t>Print Synthara remix frame + top deck (Bambu X1, PETG)</t>
  </si>
  <si>
    <t>T5.2</t>
  </si>
  <si>
    <t>Bench test stack + motors (props off, Betaflight)</t>
  </si>
  <si>
    <t>T5.3</t>
  </si>
  <si>
    <t>Flash ArduPilot (speedybeef4v4) + base config</t>
  </si>
  <si>
    <t>T5.4</t>
  </si>
  <si>
    <t>MTF-01 bench test on UART3 (mav-apm)</t>
  </si>
  <si>
    <t>T5.5</t>
  </si>
  <si>
    <t>ESP32 DroneBridge flash + MAVLink-over-WiFi test</t>
  </si>
  <si>
    <t>T5.6</t>
  </si>
  <si>
    <t>Final assembly; weigh AUW, check balance (CG)</t>
  </si>
  <si>
    <t>T6</t>
  </si>
  <si>
    <t>Manual hover testing (laptop/joystick over MAVLink)</t>
  </si>
  <si>
    <t>T6.1</t>
  </si>
  <si>
    <t>Pre-flight checks: failsafes + disarm kill-switch test</t>
  </si>
  <si>
    <t>T6.2</t>
  </si>
  <si>
    <t>Tethered first hover (Stabilize / AltHold)</t>
  </si>
  <si>
    <t>T6.3</t>
  </si>
  <si>
    <t>Basic PID tune + log review</t>
  </si>
  <si>
    <t>G2</t>
  </si>
  <si>
    <t>T7</t>
  </si>
  <si>
    <t>Optical-flow position hold (highest risk)</t>
  </si>
  <si>
    <t>T7.1</t>
  </si>
  <si>
    <t>EKF setup for flow + rangefinder (no GPS), sensor offsets</t>
  </si>
  <si>
    <t>T7.2</t>
  </si>
  <si>
    <t>Optical-flow calibration flight + scale factors</t>
  </si>
  <si>
    <t>T7.3</t>
  </si>
  <si>
    <t>Loiter position-hold trials + tuning</t>
  </si>
  <si>
    <t>T7.4</t>
  </si>
  <si>
    <t>Repeatability: 5 hold trials, record drift</t>
  </si>
  <si>
    <t>G4</t>
  </si>
  <si>
    <t>T8</t>
  </si>
  <si>
    <t>NLP-to-drone integration</t>
  </si>
  <si>
    <t>T8.1</t>
  </si>
  <si>
    <t>Single voice commands on real drone (tethered)</t>
  </si>
  <si>
    <t>T8.2</t>
  </si>
  <si>
    <t>Command sequence: take off, move 1 m, land</t>
  </si>
  <si>
    <t>G5</t>
  </si>
  <si>
    <t>SOFTWARE / NLP STRAND (parallel)</t>
  </si>
  <si>
    <t>T2</t>
  </si>
  <si>
    <t>SITL &amp; pymavlink setup</t>
  </si>
  <si>
    <t>T2.1</t>
  </si>
  <si>
    <t>Install ArduPilot SITL + QGroundControl / MAVProxy</t>
  </si>
  <si>
    <t>Parallel</t>
  </si>
  <si>
    <t>T2.2</t>
  </si>
  <si>
    <t>pymavlink script: arm, take off, land</t>
  </si>
  <si>
    <t>T3</t>
  </si>
  <si>
    <t>Speech-to-text + rule-based parser</t>
  </si>
  <si>
    <t>T3.1</t>
  </si>
  <si>
    <t>Define command grammar + 30-command test corpus</t>
  </si>
  <si>
    <t>T3.2</t>
  </si>
  <si>
    <t>Whisper vs Vosk: word error rate on corpus</t>
  </si>
  <si>
    <t>T3.3</t>
  </si>
  <si>
    <t>Rule-based intent parser (takeoff/move/rotate/hold/land)</t>
  </si>
  <si>
    <t>T3.4</t>
  </si>
  <si>
    <t>Live mic -&gt; intent end-to-end test</t>
  </si>
  <si>
    <t>T4</t>
  </si>
  <si>
    <t>NLP to MAVLink in simulation</t>
  </si>
  <si>
    <t>T4.1</t>
  </si>
  <si>
    <t>Command validator + safety limits</t>
  </si>
  <si>
    <t>T4.2</t>
  </si>
  <si>
    <t>Intent -&gt; MAVLink guided-mode mapping</t>
  </si>
  <si>
    <t>T4.3</t>
  </si>
  <si>
    <t>Spoken command drives SITL flight end-to-end</t>
  </si>
  <si>
    <t>G3</t>
  </si>
  <si>
    <t>T9</t>
  </si>
  <si>
    <t>LLM parser + comparative evaluation</t>
  </si>
  <si>
    <t>T9.1</t>
  </si>
  <si>
    <t>LLM-based parser behind the same interface</t>
  </si>
  <si>
    <t>T9.2</t>
  </si>
  <si>
    <t>Compare parsers: accuracy, latency, robustness</t>
  </si>
  <si>
    <t>T9.3</t>
  </si>
  <si>
    <t>Results tables + plots for the report</t>
  </si>
  <si>
    <t>ALL STRANDS</t>
  </si>
  <si>
    <t>T10</t>
  </si>
  <si>
    <t>Final testing, data &amp; report</t>
  </si>
  <si>
    <t>T10.1</t>
  </si>
  <si>
    <t>Movement-accuracy trials against floor markers</t>
  </si>
  <si>
    <t>T10.2</t>
  </si>
  <si>
    <t>End-to-end latency measurement (voice -&gt; motion)</t>
  </si>
  <si>
    <t>T10.3</t>
  </si>
  <si>
    <t>Write report: method, results, evaluation</t>
  </si>
  <si>
    <t>T10.4</t>
  </si>
  <si>
    <t>Final review + submission prep</t>
  </si>
  <si>
    <t>TOTAL — planned hours / planned finish day</t>
  </si>
  <si>
    <t>TOTAL — actual hours logged / latest actual finish day</t>
  </si>
  <si>
    <t>Legend</t>
  </si>
  <si>
    <t>Plan — task summary</t>
  </si>
  <si>
    <t>Plan — hardware / control strand (critical path)</t>
  </si>
  <si>
    <t>Plan — software / NLP strand (parallel)</t>
  </si>
  <si>
    <t>Actual — days worked within the plan</t>
  </si>
  <si>
    <t>Actual — days past the planned end (overrun)</t>
  </si>
  <si>
    <t>Actual — in progress, up to the current day</t>
  </si>
  <si>
    <t>Current project day (header)</t>
  </si>
  <si>
    <t>◆</t>
  </si>
  <si>
    <t>Decision gate — sits on the gated subtask's planned end day</t>
  </si>
  <si>
    <t>Example (illustration only): planned days 3–6, actually took days 3–8</t>
  </si>
  <si>
    <t>Actual  (Var = +2)</t>
  </si>
  <si>
    <t>Task Breakdown — planned vs actual (dates and hours link to the Gantt sheet)</t>
  </si>
  <si>
    <t>Parent</t>
  </si>
  <si>
    <t>Plan hrs</t>
  </si>
  <si>
    <t>Plan start</t>
  </si>
  <si>
    <t>Plan end</t>
  </si>
  <si>
    <t>Actual hrs</t>
  </si>
  <si>
    <t>Actual start</t>
  </si>
  <si>
    <t>Actual end</t>
  </si>
  <si>
    <t>Status</t>
  </si>
  <si>
    <t>Measurable outcome (verification)</t>
  </si>
  <si>
    <t>Depends on / notes</t>
  </si>
  <si>
    <t>Figures 1-2 agreed with supervisor</t>
  </si>
  <si>
    <t>All parts ordered; cost sheet within budget</t>
  </si>
  <si>
    <t>Battery + charger still to buy</t>
  </si>
  <si>
    <t>RA form signed; lab space confirmed</t>
  </si>
  <si>
    <t>Outline approved (Gate G1)</t>
  </si>
  <si>
    <t>T1.1-T1.3</t>
  </si>
  <si>
    <t>Frame printed, supports cleaned, frame &lt;= 55g</t>
  </si>
  <si>
    <t>STL files from Drone_CAD/Synthara_Remix</t>
  </si>
  <si>
    <t>Smoke test passed; all 4 motors spin, order/direction correct</t>
  </si>
  <si>
    <t>Bench PSU 11.1V, current-limited</t>
  </si>
  <si>
    <t>Quad X, DShot600, accel cal, battery reads within 0.1V</t>
  </si>
  <si>
    <t>Range within a few cm at 0.2/0.5/1 m; flow responds X/Y</t>
  </si>
  <si>
    <t>QGroundControl connects to the FC over WiFi</t>
  </si>
  <si>
    <t>ESP32 WROOM-32D; avoid 9V pin on VTX port</t>
  </si>
  <si>
    <t>AUW &lt; 250g (target ~203g); CG within 5mm of centre</t>
  </si>
  <si>
    <t>3S packs + charger bought; T5.1-T5.5</t>
  </si>
  <si>
    <t>Laptop disarm stops motors instantly; battery failsafe set</t>
  </si>
  <si>
    <t>30 s stable tethered hover, no oscillation</t>
  </si>
  <si>
    <t>Prop guards fitted</t>
  </si>
  <si>
    <t>Stable hover recorded on video (Gate G2)</t>
  </si>
  <si>
    <t>EKF healthy on bench; FLOW_POS_X set (~0.041 m)</t>
  </si>
  <si>
    <t>Flow rates match gyro rates in logs</t>
  </si>
  <si>
    <t>Drift &lt; 0.5 m over 30 s</t>
  </si>
  <si>
    <t>5/5 trials &lt; 0.5 m drift (Gate G4)</t>
  </si>
  <si>
    <t>Takeoff / hold / land each work from voice</t>
  </si>
  <si>
    <t>T4.3, T7.4</t>
  </si>
  <si>
    <t>Sequence executed from voice (Gate G5)</t>
  </si>
  <si>
    <t>Simulated copter arms and flies</t>
  </si>
  <si>
    <t>Scripted flight completes in SITL</t>
  </si>
  <si>
    <t>Corpus file with expected intents and parameters</t>
  </si>
  <si>
    <t>WER table for both engines</t>
  </si>
  <si>
    <t>&gt;= 90% intent accuracy on typed corpus</t>
  </si>
  <si>
    <t>Accuracy measured on live voice</t>
  </si>
  <si>
    <t>T3.2, T3.3</t>
  </si>
  <si>
    <t>Out-of-range commands rejected in unit tests</t>
  </si>
  <si>
    <t>Every intent executes correctly in SITL</t>
  </si>
  <si>
    <t>Voice -&gt; simulated flight works (Gate G3)</t>
  </si>
  <si>
    <t>Passes the corpus in the same output format</t>
  </si>
  <si>
    <t>Ethics decision: own voice vs participants</t>
  </si>
  <si>
    <t>Comparison table for both parsers</t>
  </si>
  <si>
    <t>Figures ready for report</t>
  </si>
  <si>
    <t>Position error table (n &gt;= 5 per command)</t>
  </si>
  <si>
    <t>Latency mean / min / max recorded</t>
  </si>
  <si>
    <t>Full draft complete</t>
  </si>
  <si>
    <t>Submitted</t>
  </si>
  <si>
    <t>TOTAL</t>
  </si>
  <si>
    <t>Green cells mirror the Gantt sheet — edit plan and actual values there. Outcome and notes (blue) are editable here.</t>
  </si>
  <si>
    <t>Decision Gates — planned vs actual day (linked to the Gantt sheet)</t>
  </si>
  <si>
    <t>Subtask</t>
  </si>
  <si>
    <t>Planned day</t>
  </si>
  <si>
    <t>Actual day</t>
  </si>
  <si>
    <t>Criterion</t>
  </si>
  <si>
    <t>Action if not met</t>
  </si>
  <si>
    <t>Outline, BOM and risk assessment approved; lab space confirmed</t>
  </si>
  <si>
    <t>Revise scope or parts before further spending</t>
  </si>
  <si>
    <t>Stable manual hover recorded</t>
  </si>
  <si>
    <t>Extend tuning; escalate to supervisor</t>
  </si>
  <si>
    <t>Voice command drives simulated flight</t>
  </si>
  <si>
    <t>Hold hardware integration; fix software first</t>
  </si>
  <si>
    <t>Hands-off position hold &lt; 0.5 m drift, 5/5 trials (pivotal)</t>
  </si>
  <si>
    <t>Demonstrate T8 in simulation; report hardware hold as a documented limitation</t>
  </si>
  <si>
    <t>Voice sequence executes on the real drone</t>
  </si>
  <si>
    <t>Base evaluation on simulation results</t>
  </si>
  <si>
    <t>Slack:</t>
  </si>
  <si>
    <t>The software strand is free from day 21 to day 30, so it can absorb slippage in the high-risk position-hold work (T7). Reporting runs to day 50, leaving roughly ten working days of contingency after the voice-control milestone (G5, day 35). Watch the Var column: a positive number on a critical-path task pushes everything after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</si>
</sst>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4" x14ac:knownFonts="1">
    <font>
      <sz val="11"/>
      <color theme="1"/>
      <name val="Calibri"/>
      <family val="2"/>
      <scheme val="minor"/>
    </font>
    <font>
      <b/>
      <sz val="13"/>
      <color rgb="FF1F3364"/>
      <name val="Arial"/>
    </font>
    <font>
      <sz val="9"/>
      <color rgb="FF555555"/>
      <name val="Arial"/>
    </font>
    <font>
      <b/>
      <sz val="9.5"/>
      <color rgb="FF000000"/>
      <name val="Arial"/>
    </font>
    <font>
      <b/>
      <sz val="10"/>
      <color rgb="FF0000FF"/>
      <name val="Arial"/>
    </font>
    <font>
      <i/>
      <sz val="8.5"/>
      <color rgb="FF555555"/>
      <name val="Arial"/>
    </font>
    <font>
      <b/>
      <sz val="9"/>
      <color rgb="FFFFFFFF"/>
      <name val="Arial"/>
    </font>
    <font>
      <b/>
      <sz val="7.5"/>
      <color rgb="FFFFFFFF"/>
      <name val="Arial"/>
    </font>
    <font>
      <b/>
      <sz val="9.5"/>
      <color rgb="FFFFFFFF"/>
      <name val="Arial"/>
    </font>
    <font>
      <b/>
      <sz val="10"/>
      <color rgb="FF000000"/>
      <name val="Arial"/>
    </font>
    <font>
      <sz val="9"/>
      <color rgb="FF6B6B6B"/>
      <name val="Arial"/>
    </font>
    <font>
      <i/>
      <sz val="9"/>
      <color rgb="FF6B6B6B"/>
      <name val="Arial"/>
    </font>
    <font>
      <sz val="9.5"/>
      <color rgb="FF000000"/>
      <name val="Arial"/>
    </font>
    <font>
      <sz val="8.5"/>
      <color rgb="FF6B6B6B"/>
      <name val="Arial"/>
    </font>
    <font>
      <b/>
      <sz val="9.5"/>
      <color rgb="FF0000FF"/>
      <name val="Arial"/>
    </font>
    <font>
      <sz val="9.5"/>
      <color rgb="FF0000FF"/>
      <name val="Arial"/>
    </font>
    <font>
      <i/>
      <sz val="8.5"/>
      <color rgb="FF6B6B6B"/>
      <name val="Arial"/>
    </font>
    <font>
      <b/>
      <sz val="11"/>
      <color rgb="FF1F3364"/>
      <name val="Arial"/>
    </font>
    <font>
      <i/>
      <sz val="9"/>
      <color rgb="FF555555"/>
      <name val="Arial"/>
    </font>
    <font>
      <sz val="9.5"/>
      <color rgb="FF008000"/>
      <name val="Arial"/>
    </font>
    <font>
      <b/>
      <sz val="10"/>
      <color rgb="FFFFFFFF"/>
      <name val="Arial"/>
    </font>
    <font>
      <b/>
      <sz val="10"/>
      <color rgb="FF1F3364"/>
      <name val="Arial"/>
    </font>
    <font>
      <sz val="10"/>
      <color rgb="FF000000"/>
      <name val="Arial"/>
    </font>
    <font>
      <sz val="10"/>
      <color rgb="FF008000"/>
      <name val="Arial"/>
    </font>
  </fonts>
  <fills count="17">
    <fill>
      <patternFill patternType="none"/>
    </fill>
    <fill>
      <patternFill patternType="gray125"/>
    </fill>
    <fill>
      <patternFill patternType="solid">
        <fgColor rgb="FFFFFF00"/>
      </patternFill>
    </fill>
    <fill>
      <patternFill patternType="solid">
        <fgColor rgb="FF1F3364"/>
      </patternFill>
    </fill>
    <fill>
      <patternFill patternType="solid">
        <fgColor rgb="FF5A6B8C"/>
      </patternFill>
    </fill>
    <fill>
      <patternFill patternType="solid">
        <fgColor rgb="FFDCE3EE"/>
      </patternFill>
    </fill>
    <fill>
      <patternFill patternType="solid">
        <fgColor rgb="FFE9EDF3"/>
      </patternFill>
    </fill>
    <fill>
      <patternFill patternType="solid">
        <fgColor rgb="FFFFFFFF"/>
      </patternFill>
    </fill>
    <fill>
      <patternFill patternType="solid">
        <fgColor rgb="FFFBFBF6"/>
      </patternFill>
    </fill>
    <fill>
      <patternFill patternType="solid">
        <fgColor rgb="FFEAF0F8"/>
      </patternFill>
    </fill>
    <fill>
      <patternFill patternType="solid">
        <fgColor rgb="FFD9E1F2"/>
      </patternFill>
    </fill>
    <fill>
      <patternFill patternType="solid">
        <fgColor rgb="FF2E5FA3"/>
      </patternFill>
    </fill>
    <fill>
      <patternFill patternType="solid">
        <fgColor rgb="FF7FA8D9"/>
      </patternFill>
    </fill>
    <fill>
      <patternFill patternType="solid">
        <fgColor rgb="FF2F9E6B"/>
      </patternFill>
    </fill>
    <fill>
      <patternFill patternType="solid">
        <fgColor rgb="FFC0392B"/>
      </patternFill>
    </fill>
    <fill>
      <patternFill patternType="solid">
        <fgColor rgb="FFE0A030"/>
      </patternFill>
    </fill>
    <fill>
      <patternFill patternType="solid">
        <fgColor rgb="FFFFD54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2" borderId="1" xfId="0" applyFont="1" applyFill="1" applyBorder="1" applyAlignment="1">
      <alignment horizontal="center" vertical="center" wrapText="1"/>
    </xf>
    <xf numFmtId="0" fontId="5" fillId="0" borderId="0" xfId="0" applyFont="1"/>
    <xf numFmtId="0" fontId="0" fillId="3" borderId="1" xfId="0" applyFill="1" applyBorder="1"/>
    <xf numFmtId="0" fontId="7" fillId="3" borderId="1" xfId="0" applyFont="1" applyFill="1" applyBorder="1" applyAlignment="1">
      <alignment horizontal="center" vertical="center" wrapText="1"/>
    </xf>
    <xf numFmtId="0" fontId="0" fillId="4" borderId="1" xfId="0" applyFill="1" applyBorder="1"/>
    <xf numFmtId="0" fontId="8" fillId="4" borderId="1" xfId="0" applyFont="1" applyFill="1" applyBorder="1"/>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0" fillId="5" borderId="1" xfId="0" applyFill="1" applyBorder="1"/>
    <xf numFmtId="0" fontId="10" fillId="6" borderId="1" xfId="0" applyFont="1" applyFill="1" applyBorder="1" applyAlignment="1">
      <alignment horizontal="center" vertical="center" wrapText="1"/>
    </xf>
    <xf numFmtId="0" fontId="11" fillId="6" borderId="1" xfId="0" applyFont="1" applyFill="1" applyBorder="1" applyAlignment="1">
      <alignment horizontal="left" vertical="center" indent="4"/>
    </xf>
    <xf numFmtId="164" fontId="10" fillId="6" borderId="1" xfId="0" applyNumberFormat="1" applyFont="1" applyFill="1" applyBorder="1" applyAlignment="1">
      <alignment horizontal="center" vertical="center" wrapText="1"/>
    </xf>
    <xf numFmtId="165" fontId="10" fillId="6" borderId="1" xfId="0" applyNumberFormat="1" applyFont="1" applyFill="1" applyBorder="1" applyAlignment="1">
      <alignment horizontal="center" vertical="center" wrapText="1"/>
    </xf>
    <xf numFmtId="0" fontId="0" fillId="6" borderId="1" xfId="0" applyFill="1" applyBorder="1"/>
    <xf numFmtId="0" fontId="3" fillId="7" borderId="1" xfId="0" applyFont="1" applyFill="1" applyBorder="1" applyAlignment="1">
      <alignment horizontal="center" vertical="center" wrapText="1"/>
    </xf>
    <xf numFmtId="0" fontId="12" fillId="7" borderId="1" xfId="0" applyFont="1" applyFill="1" applyBorder="1" applyAlignment="1">
      <alignment horizontal="left" vertical="center" wrapText="1" indent="2"/>
    </xf>
    <xf numFmtId="0" fontId="13"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6" fillId="8" borderId="1" xfId="0" applyFont="1" applyFill="1" applyBorder="1" applyAlignment="1">
      <alignment horizontal="left" vertical="center" indent="4"/>
    </xf>
    <xf numFmtId="0" fontId="15"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165" fontId="3" fillId="8" borderId="1" xfId="0" applyNumberFormat="1" applyFont="1" applyFill="1" applyBorder="1" applyAlignment="1">
      <alignment horizontal="center" vertical="center" wrapText="1"/>
    </xf>
    <xf numFmtId="0" fontId="0" fillId="8" borderId="1" xfId="0" applyFill="1" applyBorder="1"/>
    <xf numFmtId="0" fontId="3" fillId="9" borderId="1" xfId="0" applyFont="1" applyFill="1" applyBorder="1" applyAlignment="1">
      <alignment horizontal="center" vertical="center" wrapText="1"/>
    </xf>
    <xf numFmtId="0" fontId="12" fillId="9" borderId="1" xfId="0" applyFont="1" applyFill="1" applyBorder="1" applyAlignment="1">
      <alignment horizontal="left" vertical="center" wrapText="1" indent="2"/>
    </xf>
    <xf numFmtId="0" fontId="13"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10" borderId="1" xfId="0" applyFill="1" applyBorder="1"/>
    <xf numFmtId="0" fontId="9" fillId="10" borderId="1" xfId="0" applyFont="1" applyFill="1" applyBorder="1"/>
    <xf numFmtId="0" fontId="9" fillId="10" borderId="1" xfId="0" applyFont="1" applyFill="1" applyBorder="1" applyAlignment="1">
      <alignment horizontal="center" vertical="center" wrapText="1"/>
    </xf>
    <xf numFmtId="0" fontId="9" fillId="0" borderId="0" xfId="0" applyFont="1"/>
    <xf numFmtId="0" fontId="12" fillId="0" borderId="0" xfId="0" applyFont="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0" fontId="17" fillId="0" borderId="0" xfId="0" applyFont="1" applyAlignment="1">
      <alignment horizontal="center" vertical="center" wrapText="1"/>
    </xf>
    <xf numFmtId="0" fontId="3" fillId="0" borderId="0" xfId="0" applyFont="1"/>
    <xf numFmtId="0" fontId="10" fillId="0" borderId="0" xfId="0" applyFont="1"/>
    <xf numFmtId="0" fontId="0" fillId="0" borderId="1" xfId="0" applyBorder="1"/>
    <xf numFmtId="0" fontId="18" fillId="0" borderId="0" xfId="0" applyFont="1"/>
    <xf numFmtId="0" fontId="8"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165" fontId="19" fillId="0" borderId="1" xfId="0" applyNumberFormat="1" applyFont="1" applyBorder="1" applyAlignment="1">
      <alignment horizontal="center" vertical="center" wrapText="1"/>
    </xf>
    <xf numFmtId="0" fontId="15" fillId="0" borderId="1" xfId="0" applyFont="1" applyBorder="1" applyAlignment="1">
      <alignment horizontal="left" vertical="center" wrapText="1"/>
    </xf>
    <xf numFmtId="0" fontId="20" fillId="3"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165" fontId="22" fillId="0" borderId="1" xfId="0" applyNumberFormat="1" applyFont="1" applyBorder="1" applyAlignment="1">
      <alignment horizontal="center" vertical="center" wrapText="1"/>
    </xf>
    <xf numFmtId="0" fontId="2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0" fillId="3" borderId="1" xfId="0" applyFill="1" applyBorder="1"/>
    <xf numFmtId="0" fontId="22" fillId="0" borderId="0" xfId="0" applyFont="1" applyAlignment="1">
      <alignment horizontal="left" vertical="center" wrapText="1"/>
    </xf>
    <xf numFmtId="0" fontId="0" fillId="0" borderId="0" xfId="0"/>
  </cellXfs>
  <cellStyles count="1">
    <cellStyle name="Normal" xfId="0" builtinId="0"/>
  </cellStyles>
  <dxfs count="7">
    <dxf>
      <fill>
        <patternFill patternType="solid">
          <fgColor rgb="FF2F9E6B"/>
          <bgColor rgb="FF2F9E6B"/>
        </patternFill>
      </fill>
    </dxf>
    <dxf>
      <fill>
        <patternFill patternType="solid">
          <fgColor rgb="FFE0A030"/>
          <bgColor rgb="FFE0A030"/>
        </patternFill>
      </fill>
    </dxf>
    <dxf>
      <fill>
        <patternFill patternType="solid">
          <fgColor rgb="FFC0392B"/>
          <bgColor rgb="FFC0392B"/>
        </patternFill>
      </fill>
    </dxf>
    <dxf>
      <fill>
        <patternFill patternType="solid">
          <fgColor rgb="FF7FA8D9"/>
          <bgColor rgb="FF7FA8D9"/>
        </patternFill>
      </fill>
    </dxf>
    <dxf>
      <fill>
        <patternFill patternType="solid">
          <fgColor rgb="FF2E5FA3"/>
          <bgColor rgb="FF2E5FA3"/>
        </patternFill>
      </fill>
    </dxf>
    <dxf>
      <fill>
        <patternFill patternType="solid">
          <fgColor rgb="FF1F3364"/>
          <bgColor rgb="FF1F3364"/>
        </patternFill>
      </fill>
    </dxf>
    <dxf>
      <font>
        <b/>
        <color rgb="FF000000"/>
        <name val="Arial"/>
      </font>
      <fill>
        <patternFill patternType="solid">
          <fgColor rgb="FFFFD54F"/>
          <bgColor rgb="FFFFD54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17"/>
  <sheetViews>
    <sheetView tabSelected="1" workbookViewId="0">
      <pane xSplit="10" ySplit="6" topLeftCell="K25" activePane="bottomRight" state="frozen"/>
      <selection pane="topRight"/>
      <selection pane="bottomLeft"/>
      <selection pane="bottomRight" activeCell="B117" sqref="B117"/>
    </sheetView>
  </sheetViews>
  <sheetFormatPr baseColWidth="10" defaultColWidth="8.83203125" defaultRowHeight="15" x14ac:dyDescent="0.2"/>
  <cols>
    <col min="1" max="1" width="6.5" customWidth="1"/>
    <col min="2" max="2" width="48" customWidth="1"/>
    <col min="3" max="3" width="7" customWidth="1"/>
    <col min="4" max="4" width="9.5" customWidth="1"/>
    <col min="5" max="5" width="7.5" customWidth="1"/>
    <col min="6" max="8" width="7" customWidth="1"/>
    <col min="9" max="9" width="6.5" customWidth="1"/>
    <col min="10" max="10" width="5.5" customWidth="1"/>
    <col min="11" max="60" width="2.6640625" customWidth="1"/>
  </cols>
  <sheetData>
    <row r="1" spans="1:60" ht="17" x14ac:dyDescent="0.2">
      <c r="A1" s="1" t="s">
        <v>0</v>
      </c>
    </row>
    <row r="2" spans="1:60" x14ac:dyDescent="0.2">
      <c r="A2" s="2" t="s">
        <v>1</v>
      </c>
    </row>
    <row r="3" spans="1:60" x14ac:dyDescent="0.2">
      <c r="B3" s="3" t="s">
        <v>2</v>
      </c>
      <c r="F3" s="4"/>
      <c r="G3" s="5" t="s">
        <v>3</v>
      </c>
    </row>
    <row r="5" spans="1:60" x14ac:dyDescent="0.2">
      <c r="A5" s="67" t="s">
        <v>4</v>
      </c>
      <c r="B5" s="67" t="s">
        <v>5</v>
      </c>
      <c r="C5" s="67" t="s">
        <v>6</v>
      </c>
      <c r="D5" s="67" t="s">
        <v>7</v>
      </c>
      <c r="E5" s="67" t="s">
        <v>8</v>
      </c>
      <c r="F5" s="67" t="s">
        <v>9</v>
      </c>
      <c r="G5" s="67" t="s">
        <v>10</v>
      </c>
      <c r="H5" s="67" t="s">
        <v>11</v>
      </c>
      <c r="I5" s="67" t="s">
        <v>12</v>
      </c>
      <c r="J5" s="67" t="s">
        <v>13</v>
      </c>
      <c r="K5" s="67" t="s">
        <v>14</v>
      </c>
      <c r="L5" s="68"/>
      <c r="M5" s="68"/>
      <c r="N5" s="68"/>
      <c r="O5" s="68"/>
      <c r="P5" s="67" t="s">
        <v>15</v>
      </c>
      <c r="Q5" s="68"/>
      <c r="R5" s="68"/>
      <c r="S5" s="68"/>
      <c r="T5" s="68"/>
      <c r="U5" s="67" t="s">
        <v>16</v>
      </c>
      <c r="V5" s="68"/>
      <c r="W5" s="68"/>
      <c r="X5" s="68"/>
      <c r="Y5" s="68"/>
      <c r="Z5" s="67" t="s">
        <v>17</v>
      </c>
      <c r="AA5" s="68"/>
      <c r="AB5" s="68"/>
      <c r="AC5" s="68"/>
      <c r="AD5" s="68"/>
      <c r="AE5" s="67" t="s">
        <v>18</v>
      </c>
      <c r="AF5" s="68"/>
      <c r="AG5" s="68"/>
      <c r="AH5" s="68"/>
      <c r="AI5" s="68"/>
      <c r="AJ5" s="67" t="s">
        <v>19</v>
      </c>
      <c r="AK5" s="68"/>
      <c r="AL5" s="68"/>
      <c r="AM5" s="68"/>
      <c r="AN5" s="68"/>
      <c r="AO5" s="67" t="s">
        <v>20</v>
      </c>
      <c r="AP5" s="68"/>
      <c r="AQ5" s="68"/>
      <c r="AR5" s="68"/>
      <c r="AS5" s="68"/>
      <c r="AT5" s="67" t="s">
        <v>21</v>
      </c>
      <c r="AU5" s="68"/>
      <c r="AV5" s="68"/>
      <c r="AW5" s="68"/>
      <c r="AX5" s="68"/>
      <c r="AY5" s="67" t="s">
        <v>22</v>
      </c>
      <c r="AZ5" s="68"/>
      <c r="BA5" s="68"/>
      <c r="BB5" s="68"/>
      <c r="BC5" s="68"/>
      <c r="BD5" s="67" t="s">
        <v>23</v>
      </c>
      <c r="BE5" s="68"/>
      <c r="BF5" s="68"/>
      <c r="BG5" s="68"/>
      <c r="BH5" s="68"/>
    </row>
    <row r="6" spans="1:60" x14ac:dyDescent="0.2">
      <c r="A6" s="68"/>
      <c r="B6" s="68"/>
      <c r="C6" s="68"/>
      <c r="D6" s="68"/>
      <c r="E6" s="68"/>
      <c r="F6" s="68"/>
      <c r="G6" s="68"/>
      <c r="H6" s="68"/>
      <c r="I6" s="68"/>
      <c r="J6" s="68"/>
      <c r="K6" s="7">
        <v>1</v>
      </c>
      <c r="L6" s="7">
        <v>2</v>
      </c>
      <c r="M6" s="7">
        <v>3</v>
      </c>
      <c r="N6" s="7">
        <v>4</v>
      </c>
      <c r="O6" s="7">
        <v>5</v>
      </c>
      <c r="P6" s="7">
        <v>6</v>
      </c>
      <c r="Q6" s="7">
        <v>7</v>
      </c>
      <c r="R6" s="7">
        <v>8</v>
      </c>
      <c r="S6" s="7">
        <v>9</v>
      </c>
      <c r="T6" s="7">
        <v>10</v>
      </c>
      <c r="U6" s="7">
        <v>11</v>
      </c>
      <c r="V6" s="7">
        <v>12</v>
      </c>
      <c r="W6" s="7">
        <v>13</v>
      </c>
      <c r="X6" s="7">
        <v>14</v>
      </c>
      <c r="Y6" s="7">
        <v>15</v>
      </c>
      <c r="Z6" s="7">
        <v>16</v>
      </c>
      <c r="AA6" s="7">
        <v>17</v>
      </c>
      <c r="AB6" s="7">
        <v>18</v>
      </c>
      <c r="AC6" s="7">
        <v>19</v>
      </c>
      <c r="AD6" s="7">
        <v>20</v>
      </c>
      <c r="AE6" s="7">
        <v>21</v>
      </c>
      <c r="AF6" s="7">
        <v>22</v>
      </c>
      <c r="AG6" s="7">
        <v>23</v>
      </c>
      <c r="AH6" s="7">
        <v>24</v>
      </c>
      <c r="AI6" s="7">
        <v>25</v>
      </c>
      <c r="AJ6" s="7">
        <v>26</v>
      </c>
      <c r="AK6" s="7">
        <v>27</v>
      </c>
      <c r="AL6" s="7">
        <v>28</v>
      </c>
      <c r="AM6" s="7">
        <v>29</v>
      </c>
      <c r="AN6" s="7">
        <v>30</v>
      </c>
      <c r="AO6" s="7">
        <v>31</v>
      </c>
      <c r="AP6" s="7">
        <v>32</v>
      </c>
      <c r="AQ6" s="7">
        <v>33</v>
      </c>
      <c r="AR6" s="7">
        <v>34</v>
      </c>
      <c r="AS6" s="7">
        <v>35</v>
      </c>
      <c r="AT6" s="7">
        <v>36</v>
      </c>
      <c r="AU6" s="7">
        <v>37</v>
      </c>
      <c r="AV6" s="7">
        <v>38</v>
      </c>
      <c r="AW6" s="7">
        <v>39</v>
      </c>
      <c r="AX6" s="7">
        <v>40</v>
      </c>
      <c r="AY6" s="7">
        <v>41</v>
      </c>
      <c r="AZ6" s="7">
        <v>42</v>
      </c>
      <c r="BA6" s="7">
        <v>43</v>
      </c>
      <c r="BB6" s="7">
        <v>44</v>
      </c>
      <c r="BC6" s="7">
        <v>45</v>
      </c>
      <c r="BD6" s="7">
        <v>46</v>
      </c>
      <c r="BE6" s="7">
        <v>47</v>
      </c>
      <c r="BF6" s="7">
        <v>48</v>
      </c>
      <c r="BG6" s="7">
        <v>49</v>
      </c>
      <c r="BH6" s="7">
        <v>50</v>
      </c>
    </row>
    <row r="7" spans="1:60" x14ac:dyDescent="0.2">
      <c r="A7" s="8"/>
      <c r="B7" s="9" t="s">
        <v>24</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row>
    <row r="8" spans="1:60" x14ac:dyDescent="0.2">
      <c r="A8" s="10" t="s">
        <v>25</v>
      </c>
      <c r="B8" s="11" t="s">
        <v>26</v>
      </c>
      <c r="C8" s="10" t="s">
        <v>27</v>
      </c>
      <c r="D8" s="10" t="s">
        <v>28</v>
      </c>
      <c r="E8" s="10">
        <f>SUMIFS(E10:E17,C10:C17,"Plan")</f>
        <v>20</v>
      </c>
      <c r="F8" s="10">
        <f>_xlfn.MINIFS(F10:F17,C10:C17,"Plan")</f>
        <v>1</v>
      </c>
      <c r="G8" s="10">
        <f>_xlfn.MAXIFS(G10:G17,C10:C17,"Plan")</f>
        <v>5</v>
      </c>
      <c r="H8" s="10">
        <f>G8-F8+1</f>
        <v>5</v>
      </c>
      <c r="I8" s="10"/>
      <c r="J8" s="10"/>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row>
    <row r="9" spans="1:60" x14ac:dyDescent="0.2">
      <c r="A9" s="13" t="s">
        <v>25</v>
      </c>
      <c r="B9" s="14" t="s">
        <v>29</v>
      </c>
      <c r="C9" s="13" t="s">
        <v>30</v>
      </c>
      <c r="D9" s="13" t="s">
        <v>28</v>
      </c>
      <c r="E9" s="15">
        <f>SUMIFS(E10:E17,C10:C17,"Actual")</f>
        <v>20</v>
      </c>
      <c r="F9" s="13">
        <f>IF(COUNTIFS(C10:C17,"Actual",F10:F17,"&lt;&gt;")=0,"",_xlfn.MINIFS(F10:F17,C10:C17,"Actual"))</f>
        <v>1</v>
      </c>
      <c r="G9" s="13">
        <f>IF(COUNTIFS(C10:C17,"Actual",G10:G17,"")&gt;0,"",_xlfn.MAXIFS(G10:G17,C10:C17,"Actual"))</f>
        <v>5</v>
      </c>
      <c r="H9" s="13">
        <f>IF(OR(F9="",G9=""),"",G9-F9+1)</f>
        <v>5</v>
      </c>
      <c r="I9" s="16">
        <f>IF(G9="","",G9-G8)</f>
        <v>0</v>
      </c>
      <c r="J9" s="13"/>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row>
    <row r="10" spans="1:60" x14ac:dyDescent="0.2">
      <c r="A10" s="18" t="s">
        <v>31</v>
      </c>
      <c r="B10" s="19" t="s">
        <v>32</v>
      </c>
      <c r="C10" s="20" t="s">
        <v>27</v>
      </c>
      <c r="D10" s="21" t="s">
        <v>33</v>
      </c>
      <c r="E10" s="22">
        <v>6</v>
      </c>
      <c r="F10" s="22">
        <v>1</v>
      </c>
      <c r="G10" s="22">
        <v>2</v>
      </c>
      <c r="H10" s="23">
        <f>G10-F10+1</f>
        <v>2</v>
      </c>
      <c r="I10" s="23"/>
      <c r="J10" s="21"/>
      <c r="K10" s="24" t="str">
        <f t="shared" ref="K10:AP10" si="0">IF(AND($J10&lt;&gt;"",K$6=$G10),"◆","")</f>
        <v/>
      </c>
      <c r="L10" s="24" t="str">
        <f t="shared" si="0"/>
        <v/>
      </c>
      <c r="M10" s="24" t="str">
        <f t="shared" si="0"/>
        <v/>
      </c>
      <c r="N10" s="24" t="str">
        <f t="shared" si="0"/>
        <v/>
      </c>
      <c r="O10" s="24" t="str">
        <f t="shared" si="0"/>
        <v/>
      </c>
      <c r="P10" s="24" t="str">
        <f t="shared" si="0"/>
        <v/>
      </c>
      <c r="Q10" s="24" t="str">
        <f t="shared" si="0"/>
        <v/>
      </c>
      <c r="R10" s="24" t="str">
        <f t="shared" si="0"/>
        <v/>
      </c>
      <c r="S10" s="24" t="str">
        <f t="shared" si="0"/>
        <v/>
      </c>
      <c r="T10" s="24" t="str">
        <f t="shared" si="0"/>
        <v/>
      </c>
      <c r="U10" s="24" t="str">
        <f t="shared" si="0"/>
        <v/>
      </c>
      <c r="V10" s="24" t="str">
        <f t="shared" si="0"/>
        <v/>
      </c>
      <c r="W10" s="24" t="str">
        <f t="shared" si="0"/>
        <v/>
      </c>
      <c r="X10" s="24" t="str">
        <f t="shared" si="0"/>
        <v/>
      </c>
      <c r="Y10" s="24" t="str">
        <f t="shared" si="0"/>
        <v/>
      </c>
      <c r="Z10" s="24" t="str">
        <f t="shared" si="0"/>
        <v/>
      </c>
      <c r="AA10" s="24" t="str">
        <f t="shared" si="0"/>
        <v/>
      </c>
      <c r="AB10" s="24" t="str">
        <f t="shared" si="0"/>
        <v/>
      </c>
      <c r="AC10" s="24" t="str">
        <f t="shared" si="0"/>
        <v/>
      </c>
      <c r="AD10" s="24" t="str">
        <f t="shared" si="0"/>
        <v/>
      </c>
      <c r="AE10" s="24" t="str">
        <f t="shared" si="0"/>
        <v/>
      </c>
      <c r="AF10" s="24" t="str">
        <f t="shared" si="0"/>
        <v/>
      </c>
      <c r="AG10" s="24" t="str">
        <f t="shared" si="0"/>
        <v/>
      </c>
      <c r="AH10" s="24" t="str">
        <f t="shared" si="0"/>
        <v/>
      </c>
      <c r="AI10" s="24" t="str">
        <f t="shared" si="0"/>
        <v/>
      </c>
      <c r="AJ10" s="24" t="str">
        <f t="shared" si="0"/>
        <v/>
      </c>
      <c r="AK10" s="24" t="str">
        <f t="shared" si="0"/>
        <v/>
      </c>
      <c r="AL10" s="24" t="str">
        <f t="shared" si="0"/>
        <v/>
      </c>
      <c r="AM10" s="24" t="str">
        <f t="shared" si="0"/>
        <v/>
      </c>
      <c r="AN10" s="24" t="str">
        <f t="shared" si="0"/>
        <v/>
      </c>
      <c r="AO10" s="24" t="str">
        <f t="shared" si="0"/>
        <v/>
      </c>
      <c r="AP10" s="24" t="str">
        <f t="shared" si="0"/>
        <v/>
      </c>
      <c r="AQ10" s="24" t="str">
        <f t="shared" ref="AQ10:BH10" si="1">IF(AND($J10&lt;&gt;"",AQ$6=$G10),"◆","")</f>
        <v/>
      </c>
      <c r="AR10" s="24" t="str">
        <f t="shared" si="1"/>
        <v/>
      </c>
      <c r="AS10" s="24" t="str">
        <f t="shared" si="1"/>
        <v/>
      </c>
      <c r="AT10" s="24" t="str">
        <f t="shared" si="1"/>
        <v/>
      </c>
      <c r="AU10" s="24" t="str">
        <f t="shared" si="1"/>
        <v/>
      </c>
      <c r="AV10" s="24" t="str">
        <f t="shared" si="1"/>
        <v/>
      </c>
      <c r="AW10" s="24" t="str">
        <f t="shared" si="1"/>
        <v/>
      </c>
      <c r="AX10" s="24" t="str">
        <f t="shared" si="1"/>
        <v/>
      </c>
      <c r="AY10" s="24" t="str">
        <f t="shared" si="1"/>
        <v/>
      </c>
      <c r="AZ10" s="24" t="str">
        <f t="shared" si="1"/>
        <v/>
      </c>
      <c r="BA10" s="24" t="str">
        <f t="shared" si="1"/>
        <v/>
      </c>
      <c r="BB10" s="24" t="str">
        <f t="shared" si="1"/>
        <v/>
      </c>
      <c r="BC10" s="24" t="str">
        <f t="shared" si="1"/>
        <v/>
      </c>
      <c r="BD10" s="24" t="str">
        <f t="shared" si="1"/>
        <v/>
      </c>
      <c r="BE10" s="24" t="str">
        <f t="shared" si="1"/>
        <v/>
      </c>
      <c r="BF10" s="24" t="str">
        <f t="shared" si="1"/>
        <v/>
      </c>
      <c r="BG10" s="24" t="str">
        <f t="shared" si="1"/>
        <v/>
      </c>
      <c r="BH10" s="24" t="str">
        <f t="shared" si="1"/>
        <v/>
      </c>
    </row>
    <row r="11" spans="1:60" x14ac:dyDescent="0.2">
      <c r="A11" s="25" t="s">
        <v>31</v>
      </c>
      <c r="B11" s="26" t="s">
        <v>29</v>
      </c>
      <c r="C11" s="25" t="s">
        <v>30</v>
      </c>
      <c r="D11" s="25" t="str">
        <f>D10</f>
        <v>Critical</v>
      </c>
      <c r="E11" s="27">
        <v>6</v>
      </c>
      <c r="F11" s="27">
        <v>1</v>
      </c>
      <c r="G11" s="27">
        <v>2</v>
      </c>
      <c r="H11" s="28">
        <f>IF(OR(F11="",G11=""),"",G11-F11+1)</f>
        <v>2</v>
      </c>
      <c r="I11" s="29">
        <f>IF(G11="","",G11-G10)</f>
        <v>0</v>
      </c>
      <c r="J11" s="28"/>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row>
    <row r="12" spans="1:60" x14ac:dyDescent="0.2">
      <c r="A12" s="31" t="s">
        <v>34</v>
      </c>
      <c r="B12" s="32" t="s">
        <v>35</v>
      </c>
      <c r="C12" s="33" t="s">
        <v>27</v>
      </c>
      <c r="D12" s="34" t="s">
        <v>33</v>
      </c>
      <c r="E12" s="35">
        <v>6</v>
      </c>
      <c r="F12" s="35">
        <v>2</v>
      </c>
      <c r="G12" s="35">
        <v>3</v>
      </c>
      <c r="H12" s="36">
        <f>G12-F12+1</f>
        <v>2</v>
      </c>
      <c r="I12" s="36"/>
      <c r="J12" s="34"/>
      <c r="K12" s="37" t="str">
        <f t="shared" ref="K12:AP12" si="2">IF(AND($J12&lt;&gt;"",K$6=$G12),"◆","")</f>
        <v/>
      </c>
      <c r="L12" s="37" t="str">
        <f t="shared" si="2"/>
        <v/>
      </c>
      <c r="M12" s="37" t="str">
        <f t="shared" si="2"/>
        <v/>
      </c>
      <c r="N12" s="37" t="str">
        <f t="shared" si="2"/>
        <v/>
      </c>
      <c r="O12" s="37" t="str">
        <f t="shared" si="2"/>
        <v/>
      </c>
      <c r="P12" s="37" t="str">
        <f t="shared" si="2"/>
        <v/>
      </c>
      <c r="Q12" s="37" t="str">
        <f t="shared" si="2"/>
        <v/>
      </c>
      <c r="R12" s="37" t="str">
        <f t="shared" si="2"/>
        <v/>
      </c>
      <c r="S12" s="37" t="str">
        <f t="shared" si="2"/>
        <v/>
      </c>
      <c r="T12" s="37" t="str">
        <f t="shared" si="2"/>
        <v/>
      </c>
      <c r="U12" s="37" t="str">
        <f t="shared" si="2"/>
        <v/>
      </c>
      <c r="V12" s="37" t="str">
        <f t="shared" si="2"/>
        <v/>
      </c>
      <c r="W12" s="37" t="str">
        <f t="shared" si="2"/>
        <v/>
      </c>
      <c r="X12" s="37" t="str">
        <f t="shared" si="2"/>
        <v/>
      </c>
      <c r="Y12" s="37" t="str">
        <f t="shared" si="2"/>
        <v/>
      </c>
      <c r="Z12" s="37" t="str">
        <f t="shared" si="2"/>
        <v/>
      </c>
      <c r="AA12" s="37" t="str">
        <f t="shared" si="2"/>
        <v/>
      </c>
      <c r="AB12" s="37" t="str">
        <f t="shared" si="2"/>
        <v/>
      </c>
      <c r="AC12" s="37" t="str">
        <f t="shared" si="2"/>
        <v/>
      </c>
      <c r="AD12" s="37" t="str">
        <f t="shared" si="2"/>
        <v/>
      </c>
      <c r="AE12" s="37" t="str">
        <f t="shared" si="2"/>
        <v/>
      </c>
      <c r="AF12" s="37" t="str">
        <f t="shared" si="2"/>
        <v/>
      </c>
      <c r="AG12" s="37" t="str">
        <f t="shared" si="2"/>
        <v/>
      </c>
      <c r="AH12" s="37" t="str">
        <f t="shared" si="2"/>
        <v/>
      </c>
      <c r="AI12" s="37" t="str">
        <f t="shared" si="2"/>
        <v/>
      </c>
      <c r="AJ12" s="37" t="str">
        <f t="shared" si="2"/>
        <v/>
      </c>
      <c r="AK12" s="37" t="str">
        <f t="shared" si="2"/>
        <v/>
      </c>
      <c r="AL12" s="37" t="str">
        <f t="shared" si="2"/>
        <v/>
      </c>
      <c r="AM12" s="37" t="str">
        <f t="shared" si="2"/>
        <v/>
      </c>
      <c r="AN12" s="37" t="str">
        <f t="shared" si="2"/>
        <v/>
      </c>
      <c r="AO12" s="37" t="str">
        <f t="shared" si="2"/>
        <v/>
      </c>
      <c r="AP12" s="37" t="str">
        <f t="shared" si="2"/>
        <v/>
      </c>
      <c r="AQ12" s="37" t="str">
        <f t="shared" ref="AQ12:BH12" si="3">IF(AND($J12&lt;&gt;"",AQ$6=$G12),"◆","")</f>
        <v/>
      </c>
      <c r="AR12" s="37" t="str">
        <f t="shared" si="3"/>
        <v/>
      </c>
      <c r="AS12" s="37" t="str">
        <f t="shared" si="3"/>
        <v/>
      </c>
      <c r="AT12" s="37" t="str">
        <f t="shared" si="3"/>
        <v/>
      </c>
      <c r="AU12" s="37" t="str">
        <f t="shared" si="3"/>
        <v/>
      </c>
      <c r="AV12" s="37" t="str">
        <f t="shared" si="3"/>
        <v/>
      </c>
      <c r="AW12" s="37" t="str">
        <f t="shared" si="3"/>
        <v/>
      </c>
      <c r="AX12" s="37" t="str">
        <f t="shared" si="3"/>
        <v/>
      </c>
      <c r="AY12" s="37" t="str">
        <f t="shared" si="3"/>
        <v/>
      </c>
      <c r="AZ12" s="37" t="str">
        <f t="shared" si="3"/>
        <v/>
      </c>
      <c r="BA12" s="37" t="str">
        <f t="shared" si="3"/>
        <v/>
      </c>
      <c r="BB12" s="37" t="str">
        <f t="shared" si="3"/>
        <v/>
      </c>
      <c r="BC12" s="37" t="str">
        <f t="shared" si="3"/>
        <v/>
      </c>
      <c r="BD12" s="37" t="str">
        <f t="shared" si="3"/>
        <v/>
      </c>
      <c r="BE12" s="37" t="str">
        <f t="shared" si="3"/>
        <v/>
      </c>
      <c r="BF12" s="37" t="str">
        <f t="shared" si="3"/>
        <v/>
      </c>
      <c r="BG12" s="37" t="str">
        <f t="shared" si="3"/>
        <v/>
      </c>
      <c r="BH12" s="37" t="str">
        <f t="shared" si="3"/>
        <v/>
      </c>
    </row>
    <row r="13" spans="1:60" x14ac:dyDescent="0.2">
      <c r="A13" s="25" t="s">
        <v>34</v>
      </c>
      <c r="B13" s="26" t="s">
        <v>29</v>
      </c>
      <c r="C13" s="25" t="s">
        <v>30</v>
      </c>
      <c r="D13" s="25" t="str">
        <f>D12</f>
        <v>Critical</v>
      </c>
      <c r="E13" s="27">
        <v>6</v>
      </c>
      <c r="F13" s="27">
        <v>2</v>
      </c>
      <c r="G13" s="27">
        <v>3</v>
      </c>
      <c r="H13" s="28">
        <f>IF(OR(F13="",G13=""),"",G13-F13+1)</f>
        <v>2</v>
      </c>
      <c r="I13" s="29">
        <f>IF(G13="","",G13-G12)</f>
        <v>0</v>
      </c>
      <c r="J13" s="28"/>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row>
    <row r="14" spans="1:60" x14ac:dyDescent="0.2">
      <c r="A14" s="18" t="s">
        <v>36</v>
      </c>
      <c r="B14" s="19" t="s">
        <v>37</v>
      </c>
      <c r="C14" s="20" t="s">
        <v>27</v>
      </c>
      <c r="D14" s="21" t="s">
        <v>33</v>
      </c>
      <c r="E14" s="22">
        <v>4</v>
      </c>
      <c r="F14" s="22">
        <v>4</v>
      </c>
      <c r="G14" s="22">
        <v>4</v>
      </c>
      <c r="H14" s="23">
        <f>G14-F14+1</f>
        <v>1</v>
      </c>
      <c r="I14" s="23"/>
      <c r="J14" s="21"/>
      <c r="K14" s="24" t="str">
        <f t="shared" ref="K14:AP14" si="4">IF(AND($J14&lt;&gt;"",K$6=$G14),"◆","")</f>
        <v/>
      </c>
      <c r="L14" s="24" t="str">
        <f t="shared" si="4"/>
        <v/>
      </c>
      <c r="M14" s="24" t="str">
        <f t="shared" si="4"/>
        <v/>
      </c>
      <c r="N14" s="24" t="str">
        <f t="shared" si="4"/>
        <v/>
      </c>
      <c r="O14" s="24" t="str">
        <f t="shared" si="4"/>
        <v/>
      </c>
      <c r="P14" s="24" t="str">
        <f t="shared" si="4"/>
        <v/>
      </c>
      <c r="Q14" s="24" t="str">
        <f t="shared" si="4"/>
        <v/>
      </c>
      <c r="R14" s="24" t="str">
        <f t="shared" si="4"/>
        <v/>
      </c>
      <c r="S14" s="24" t="str">
        <f t="shared" si="4"/>
        <v/>
      </c>
      <c r="T14" s="24" t="str">
        <f t="shared" si="4"/>
        <v/>
      </c>
      <c r="U14" s="24" t="str">
        <f t="shared" si="4"/>
        <v/>
      </c>
      <c r="V14" s="24" t="str">
        <f t="shared" si="4"/>
        <v/>
      </c>
      <c r="W14" s="24" t="str">
        <f t="shared" si="4"/>
        <v/>
      </c>
      <c r="X14" s="24" t="str">
        <f t="shared" si="4"/>
        <v/>
      </c>
      <c r="Y14" s="24" t="str">
        <f t="shared" si="4"/>
        <v/>
      </c>
      <c r="Z14" s="24" t="str">
        <f t="shared" si="4"/>
        <v/>
      </c>
      <c r="AA14" s="24" t="str">
        <f t="shared" si="4"/>
        <v/>
      </c>
      <c r="AB14" s="24" t="str">
        <f t="shared" si="4"/>
        <v/>
      </c>
      <c r="AC14" s="24" t="str">
        <f t="shared" si="4"/>
        <v/>
      </c>
      <c r="AD14" s="24" t="str">
        <f t="shared" si="4"/>
        <v/>
      </c>
      <c r="AE14" s="24" t="str">
        <f t="shared" si="4"/>
        <v/>
      </c>
      <c r="AF14" s="24" t="str">
        <f t="shared" si="4"/>
        <v/>
      </c>
      <c r="AG14" s="24" t="str">
        <f t="shared" si="4"/>
        <v/>
      </c>
      <c r="AH14" s="24" t="str">
        <f t="shared" si="4"/>
        <v/>
      </c>
      <c r="AI14" s="24" t="str">
        <f t="shared" si="4"/>
        <v/>
      </c>
      <c r="AJ14" s="24" t="str">
        <f t="shared" si="4"/>
        <v/>
      </c>
      <c r="AK14" s="24" t="str">
        <f t="shared" si="4"/>
        <v/>
      </c>
      <c r="AL14" s="24" t="str">
        <f t="shared" si="4"/>
        <v/>
      </c>
      <c r="AM14" s="24" t="str">
        <f t="shared" si="4"/>
        <v/>
      </c>
      <c r="AN14" s="24" t="str">
        <f t="shared" si="4"/>
        <v/>
      </c>
      <c r="AO14" s="24" t="str">
        <f t="shared" si="4"/>
        <v/>
      </c>
      <c r="AP14" s="24" t="str">
        <f t="shared" si="4"/>
        <v/>
      </c>
      <c r="AQ14" s="24" t="str">
        <f t="shared" ref="AQ14:BH14" si="5">IF(AND($J14&lt;&gt;"",AQ$6=$G14),"◆","")</f>
        <v/>
      </c>
      <c r="AR14" s="24" t="str">
        <f t="shared" si="5"/>
        <v/>
      </c>
      <c r="AS14" s="24" t="str">
        <f t="shared" si="5"/>
        <v/>
      </c>
      <c r="AT14" s="24" t="str">
        <f t="shared" si="5"/>
        <v/>
      </c>
      <c r="AU14" s="24" t="str">
        <f t="shared" si="5"/>
        <v/>
      </c>
      <c r="AV14" s="24" t="str">
        <f t="shared" si="5"/>
        <v/>
      </c>
      <c r="AW14" s="24" t="str">
        <f t="shared" si="5"/>
        <v/>
      </c>
      <c r="AX14" s="24" t="str">
        <f t="shared" si="5"/>
        <v/>
      </c>
      <c r="AY14" s="24" t="str">
        <f t="shared" si="5"/>
        <v/>
      </c>
      <c r="AZ14" s="24" t="str">
        <f t="shared" si="5"/>
        <v/>
      </c>
      <c r="BA14" s="24" t="str">
        <f t="shared" si="5"/>
        <v/>
      </c>
      <c r="BB14" s="24" t="str">
        <f t="shared" si="5"/>
        <v/>
      </c>
      <c r="BC14" s="24" t="str">
        <f t="shared" si="5"/>
        <v/>
      </c>
      <c r="BD14" s="24" t="str">
        <f t="shared" si="5"/>
        <v/>
      </c>
      <c r="BE14" s="24" t="str">
        <f t="shared" si="5"/>
        <v/>
      </c>
      <c r="BF14" s="24" t="str">
        <f t="shared" si="5"/>
        <v/>
      </c>
      <c r="BG14" s="24" t="str">
        <f t="shared" si="5"/>
        <v/>
      </c>
      <c r="BH14" s="24" t="str">
        <f t="shared" si="5"/>
        <v/>
      </c>
    </row>
    <row r="15" spans="1:60" x14ac:dyDescent="0.2">
      <c r="A15" s="25" t="s">
        <v>36</v>
      </c>
      <c r="B15" s="26" t="s">
        <v>29</v>
      </c>
      <c r="C15" s="25" t="s">
        <v>30</v>
      </c>
      <c r="D15" s="25" t="str">
        <f>D14</f>
        <v>Critical</v>
      </c>
      <c r="E15" s="27">
        <v>4</v>
      </c>
      <c r="F15" s="27">
        <v>4</v>
      </c>
      <c r="G15" s="27">
        <v>4</v>
      </c>
      <c r="H15" s="28">
        <f>IF(OR(F15="",G15=""),"",G15-F15+1)</f>
        <v>1</v>
      </c>
      <c r="I15" s="29">
        <f>IF(G15="","",G15-G14)</f>
        <v>0</v>
      </c>
      <c r="J15" s="28"/>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row>
    <row r="16" spans="1:60" x14ac:dyDescent="0.2">
      <c r="A16" s="31" t="s">
        <v>38</v>
      </c>
      <c r="B16" s="32" t="s">
        <v>39</v>
      </c>
      <c r="C16" s="33" t="s">
        <v>27</v>
      </c>
      <c r="D16" s="34" t="s">
        <v>33</v>
      </c>
      <c r="E16" s="35">
        <v>4</v>
      </c>
      <c r="F16" s="35">
        <v>5</v>
      </c>
      <c r="G16" s="35">
        <v>5</v>
      </c>
      <c r="H16" s="36">
        <f>G16-F16+1</f>
        <v>1</v>
      </c>
      <c r="I16" s="36"/>
      <c r="J16" s="34" t="s">
        <v>40</v>
      </c>
      <c r="K16" s="37" t="str">
        <f t="shared" ref="K16:AP16" si="6">IF(AND($J16&lt;&gt;"",K$6=$G16),"◆","")</f>
        <v/>
      </c>
      <c r="L16" s="37" t="str">
        <f t="shared" si="6"/>
        <v/>
      </c>
      <c r="M16" s="37" t="str">
        <f t="shared" si="6"/>
        <v/>
      </c>
      <c r="N16" s="37" t="str">
        <f t="shared" si="6"/>
        <v/>
      </c>
      <c r="O16" s="37" t="str">
        <f t="shared" si="6"/>
        <v>◆</v>
      </c>
      <c r="P16" s="37" t="str">
        <f t="shared" si="6"/>
        <v/>
      </c>
      <c r="Q16" s="37" t="str">
        <f t="shared" si="6"/>
        <v/>
      </c>
      <c r="R16" s="37" t="str">
        <f t="shared" si="6"/>
        <v/>
      </c>
      <c r="S16" s="37" t="str">
        <f t="shared" si="6"/>
        <v/>
      </c>
      <c r="T16" s="37" t="str">
        <f t="shared" si="6"/>
        <v/>
      </c>
      <c r="U16" s="37" t="str">
        <f t="shared" si="6"/>
        <v/>
      </c>
      <c r="V16" s="37" t="str">
        <f t="shared" si="6"/>
        <v/>
      </c>
      <c r="W16" s="37" t="str">
        <f t="shared" si="6"/>
        <v/>
      </c>
      <c r="X16" s="37" t="str">
        <f t="shared" si="6"/>
        <v/>
      </c>
      <c r="Y16" s="37" t="str">
        <f t="shared" si="6"/>
        <v/>
      </c>
      <c r="Z16" s="37" t="str">
        <f t="shared" si="6"/>
        <v/>
      </c>
      <c r="AA16" s="37" t="str">
        <f t="shared" si="6"/>
        <v/>
      </c>
      <c r="AB16" s="37" t="str">
        <f t="shared" si="6"/>
        <v/>
      </c>
      <c r="AC16" s="37" t="str">
        <f t="shared" si="6"/>
        <v/>
      </c>
      <c r="AD16" s="37" t="str">
        <f t="shared" si="6"/>
        <v/>
      </c>
      <c r="AE16" s="37" t="str">
        <f t="shared" si="6"/>
        <v/>
      </c>
      <c r="AF16" s="37" t="str">
        <f t="shared" si="6"/>
        <v/>
      </c>
      <c r="AG16" s="37" t="str">
        <f t="shared" si="6"/>
        <v/>
      </c>
      <c r="AH16" s="37" t="str">
        <f t="shared" si="6"/>
        <v/>
      </c>
      <c r="AI16" s="37" t="str">
        <f t="shared" si="6"/>
        <v/>
      </c>
      <c r="AJ16" s="37" t="str">
        <f t="shared" si="6"/>
        <v/>
      </c>
      <c r="AK16" s="37" t="str">
        <f t="shared" si="6"/>
        <v/>
      </c>
      <c r="AL16" s="37" t="str">
        <f t="shared" si="6"/>
        <v/>
      </c>
      <c r="AM16" s="37" t="str">
        <f t="shared" si="6"/>
        <v/>
      </c>
      <c r="AN16" s="37" t="str">
        <f t="shared" si="6"/>
        <v/>
      </c>
      <c r="AO16" s="37" t="str">
        <f t="shared" si="6"/>
        <v/>
      </c>
      <c r="AP16" s="37" t="str">
        <f t="shared" si="6"/>
        <v/>
      </c>
      <c r="AQ16" s="37" t="str">
        <f t="shared" ref="AQ16:BH16" si="7">IF(AND($J16&lt;&gt;"",AQ$6=$G16),"◆","")</f>
        <v/>
      </c>
      <c r="AR16" s="37" t="str">
        <f t="shared" si="7"/>
        <v/>
      </c>
      <c r="AS16" s="37" t="str">
        <f t="shared" si="7"/>
        <v/>
      </c>
      <c r="AT16" s="37" t="str">
        <f t="shared" si="7"/>
        <v/>
      </c>
      <c r="AU16" s="37" t="str">
        <f t="shared" si="7"/>
        <v/>
      </c>
      <c r="AV16" s="37" t="str">
        <f t="shared" si="7"/>
        <v/>
      </c>
      <c r="AW16" s="37" t="str">
        <f t="shared" si="7"/>
        <v/>
      </c>
      <c r="AX16" s="37" t="str">
        <f t="shared" si="7"/>
        <v/>
      </c>
      <c r="AY16" s="37" t="str">
        <f t="shared" si="7"/>
        <v/>
      </c>
      <c r="AZ16" s="37" t="str">
        <f t="shared" si="7"/>
        <v/>
      </c>
      <c r="BA16" s="37" t="str">
        <f t="shared" si="7"/>
        <v/>
      </c>
      <c r="BB16" s="37" t="str">
        <f t="shared" si="7"/>
        <v/>
      </c>
      <c r="BC16" s="37" t="str">
        <f t="shared" si="7"/>
        <v/>
      </c>
      <c r="BD16" s="37" t="str">
        <f t="shared" si="7"/>
        <v/>
      </c>
      <c r="BE16" s="37" t="str">
        <f t="shared" si="7"/>
        <v/>
      </c>
      <c r="BF16" s="37" t="str">
        <f t="shared" si="7"/>
        <v/>
      </c>
      <c r="BG16" s="37" t="str">
        <f t="shared" si="7"/>
        <v/>
      </c>
      <c r="BH16" s="37" t="str">
        <f t="shared" si="7"/>
        <v/>
      </c>
    </row>
    <row r="17" spans="1:60" x14ac:dyDescent="0.2">
      <c r="A17" s="25" t="s">
        <v>38</v>
      </c>
      <c r="B17" s="26" t="s">
        <v>29</v>
      </c>
      <c r="C17" s="25" t="s">
        <v>30</v>
      </c>
      <c r="D17" s="25" t="str">
        <f>D16</f>
        <v>Critical</v>
      </c>
      <c r="E17" s="27">
        <v>4</v>
      </c>
      <c r="F17" s="27">
        <v>5</v>
      </c>
      <c r="G17" s="27">
        <v>5</v>
      </c>
      <c r="H17" s="28">
        <f>IF(OR(F17="",G17=""),"",G17-F17+1)</f>
        <v>1</v>
      </c>
      <c r="I17" s="29">
        <f>IF(G17="","",G17-G16)</f>
        <v>0</v>
      </c>
      <c r="J17" s="28"/>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row>
    <row r="18" spans="1:60" x14ac:dyDescent="0.2">
      <c r="A18" s="10" t="s">
        <v>41</v>
      </c>
      <c r="B18" s="11" t="s">
        <v>42</v>
      </c>
      <c r="C18" s="10" t="s">
        <v>27</v>
      </c>
      <c r="D18" s="10" t="s">
        <v>28</v>
      </c>
      <c r="E18" s="10">
        <f>SUMIFS(E20:E31,C20:C31,"Plan")</f>
        <v>30</v>
      </c>
      <c r="F18" s="10">
        <f>_xlfn.MINIFS(F20:F31,C20:C31,"Plan")</f>
        <v>6</v>
      </c>
      <c r="G18" s="10">
        <f>_xlfn.MAXIFS(G20:G31,C20:C31,"Plan")</f>
        <v>15</v>
      </c>
      <c r="H18" s="10">
        <f>G18-F18+1</f>
        <v>10</v>
      </c>
      <c r="I18" s="10"/>
      <c r="J18" s="10"/>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row>
    <row r="19" spans="1:60" x14ac:dyDescent="0.2">
      <c r="A19" s="13" t="s">
        <v>41</v>
      </c>
      <c r="B19" s="14" t="s">
        <v>29</v>
      </c>
      <c r="C19" s="13" t="s">
        <v>30</v>
      </c>
      <c r="D19" s="13" t="s">
        <v>28</v>
      </c>
      <c r="E19" s="15">
        <f>SUMIFS(E20:E31,C20:C31,"Actual")</f>
        <v>8</v>
      </c>
      <c r="F19" s="13">
        <f>IF(COUNTIFS(C20:C31,"Actual",F20:F31,"&lt;&gt;")=0,"",_xlfn.MINIFS(F20:F31,C20:C31,"Actual"))</f>
        <v>6</v>
      </c>
      <c r="G19" s="13" t="str">
        <f>IF(COUNTIFS(C20:C31,"Actual",G20:G31,"")&gt;0,"",_xlfn.MAXIFS(G20:G31,C20:C31,"Actual"))</f>
        <v/>
      </c>
      <c r="H19" s="13" t="str">
        <f>IF(OR(F19="",G19=""),"",G19-F19+1)</f>
        <v/>
      </c>
      <c r="I19" s="16" t="str">
        <f>IF(G19="","",G19-G18)</f>
        <v/>
      </c>
      <c r="J19" s="13"/>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row>
    <row r="20" spans="1:60" ht="28" x14ac:dyDescent="0.2">
      <c r="A20" s="18" t="s">
        <v>43</v>
      </c>
      <c r="B20" s="19" t="s">
        <v>44</v>
      </c>
      <c r="C20" s="20" t="s">
        <v>27</v>
      </c>
      <c r="D20" s="21" t="s">
        <v>33</v>
      </c>
      <c r="E20" s="22">
        <v>4</v>
      </c>
      <c r="F20" s="22">
        <v>6</v>
      </c>
      <c r="G20" s="22">
        <v>7</v>
      </c>
      <c r="H20" s="23">
        <f>G20-F20+1</f>
        <v>2</v>
      </c>
      <c r="I20" s="23"/>
      <c r="J20" s="21"/>
      <c r="K20" s="24" t="str">
        <f t="shared" ref="K20:AP20" si="8">IF(AND($J20&lt;&gt;"",K$6=$G20),"◆","")</f>
        <v/>
      </c>
      <c r="L20" s="24" t="str">
        <f t="shared" si="8"/>
        <v/>
      </c>
      <c r="M20" s="24" t="str">
        <f t="shared" si="8"/>
        <v/>
      </c>
      <c r="N20" s="24" t="str">
        <f t="shared" si="8"/>
        <v/>
      </c>
      <c r="O20" s="24" t="str">
        <f t="shared" si="8"/>
        <v/>
      </c>
      <c r="P20" s="24" t="str">
        <f t="shared" si="8"/>
        <v/>
      </c>
      <c r="Q20" s="24" t="str">
        <f t="shared" si="8"/>
        <v/>
      </c>
      <c r="R20" s="24" t="str">
        <f t="shared" si="8"/>
        <v/>
      </c>
      <c r="S20" s="24" t="str">
        <f t="shared" si="8"/>
        <v/>
      </c>
      <c r="T20" s="24" t="str">
        <f t="shared" si="8"/>
        <v/>
      </c>
      <c r="U20" s="24" t="str">
        <f t="shared" si="8"/>
        <v/>
      </c>
      <c r="V20" s="24" t="str">
        <f t="shared" si="8"/>
        <v/>
      </c>
      <c r="W20" s="24" t="str">
        <f t="shared" si="8"/>
        <v/>
      </c>
      <c r="X20" s="24" t="str">
        <f t="shared" si="8"/>
        <v/>
      </c>
      <c r="Y20" s="24" t="str">
        <f t="shared" si="8"/>
        <v/>
      </c>
      <c r="Z20" s="24" t="str">
        <f t="shared" si="8"/>
        <v/>
      </c>
      <c r="AA20" s="24" t="str">
        <f t="shared" si="8"/>
        <v/>
      </c>
      <c r="AB20" s="24" t="str">
        <f t="shared" si="8"/>
        <v/>
      </c>
      <c r="AC20" s="24" t="str">
        <f t="shared" si="8"/>
        <v/>
      </c>
      <c r="AD20" s="24" t="str">
        <f t="shared" si="8"/>
        <v/>
      </c>
      <c r="AE20" s="24" t="str">
        <f t="shared" si="8"/>
        <v/>
      </c>
      <c r="AF20" s="24" t="str">
        <f t="shared" si="8"/>
        <v/>
      </c>
      <c r="AG20" s="24" t="str">
        <f t="shared" si="8"/>
        <v/>
      </c>
      <c r="AH20" s="24" t="str">
        <f t="shared" si="8"/>
        <v/>
      </c>
      <c r="AI20" s="24" t="str">
        <f t="shared" si="8"/>
        <v/>
      </c>
      <c r="AJ20" s="24" t="str">
        <f t="shared" si="8"/>
        <v/>
      </c>
      <c r="AK20" s="24" t="str">
        <f t="shared" si="8"/>
        <v/>
      </c>
      <c r="AL20" s="24" t="str">
        <f t="shared" si="8"/>
        <v/>
      </c>
      <c r="AM20" s="24" t="str">
        <f t="shared" si="8"/>
        <v/>
      </c>
      <c r="AN20" s="24" t="str">
        <f t="shared" si="8"/>
        <v/>
      </c>
      <c r="AO20" s="24" t="str">
        <f t="shared" si="8"/>
        <v/>
      </c>
      <c r="AP20" s="24" t="str">
        <f t="shared" si="8"/>
        <v/>
      </c>
      <c r="AQ20" s="24" t="str">
        <f t="shared" ref="AQ20:BH20" si="9">IF(AND($J20&lt;&gt;"",AQ$6=$G20),"◆","")</f>
        <v/>
      </c>
      <c r="AR20" s="24" t="str">
        <f t="shared" si="9"/>
        <v/>
      </c>
      <c r="AS20" s="24" t="str">
        <f t="shared" si="9"/>
        <v/>
      </c>
      <c r="AT20" s="24" t="str">
        <f t="shared" si="9"/>
        <v/>
      </c>
      <c r="AU20" s="24" t="str">
        <f t="shared" si="9"/>
        <v/>
      </c>
      <c r="AV20" s="24" t="str">
        <f t="shared" si="9"/>
        <v/>
      </c>
      <c r="AW20" s="24" t="str">
        <f t="shared" si="9"/>
        <v/>
      </c>
      <c r="AX20" s="24" t="str">
        <f t="shared" si="9"/>
        <v/>
      </c>
      <c r="AY20" s="24" t="str">
        <f t="shared" si="9"/>
        <v/>
      </c>
      <c r="AZ20" s="24" t="str">
        <f t="shared" si="9"/>
        <v/>
      </c>
      <c r="BA20" s="24" t="str">
        <f t="shared" si="9"/>
        <v/>
      </c>
      <c r="BB20" s="24" t="str">
        <f t="shared" si="9"/>
        <v/>
      </c>
      <c r="BC20" s="24" t="str">
        <f t="shared" si="9"/>
        <v/>
      </c>
      <c r="BD20" s="24" t="str">
        <f t="shared" si="9"/>
        <v/>
      </c>
      <c r="BE20" s="24" t="str">
        <f t="shared" si="9"/>
        <v/>
      </c>
      <c r="BF20" s="24" t="str">
        <f t="shared" si="9"/>
        <v/>
      </c>
      <c r="BG20" s="24" t="str">
        <f t="shared" si="9"/>
        <v/>
      </c>
      <c r="BH20" s="24" t="str">
        <f t="shared" si="9"/>
        <v/>
      </c>
    </row>
    <row r="21" spans="1:60" x14ac:dyDescent="0.2">
      <c r="A21" s="25" t="s">
        <v>43</v>
      </c>
      <c r="B21" s="26" t="s">
        <v>29</v>
      </c>
      <c r="C21" s="25" t="s">
        <v>30</v>
      </c>
      <c r="D21" s="25" t="str">
        <f>D20</f>
        <v>Critical</v>
      </c>
      <c r="E21" s="27">
        <v>8</v>
      </c>
      <c r="F21" s="27">
        <v>6</v>
      </c>
      <c r="G21" s="27">
        <v>7</v>
      </c>
      <c r="H21" s="28">
        <f>IF(OR(F21="",G21=""),"",G21-F21+1)</f>
        <v>2</v>
      </c>
      <c r="I21" s="29">
        <f>IF(G21="","",G21-G20)</f>
        <v>0</v>
      </c>
      <c r="J21" s="28"/>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row>
    <row r="22" spans="1:60" x14ac:dyDescent="0.2">
      <c r="A22" s="31" t="s">
        <v>45</v>
      </c>
      <c r="B22" s="32" t="s">
        <v>46</v>
      </c>
      <c r="C22" s="33" t="s">
        <v>27</v>
      </c>
      <c r="D22" s="34" t="s">
        <v>33</v>
      </c>
      <c r="E22" s="35">
        <v>6</v>
      </c>
      <c r="F22" s="35">
        <v>6</v>
      </c>
      <c r="G22" s="35">
        <v>8</v>
      </c>
      <c r="H22" s="36">
        <f>G22-F22+1</f>
        <v>3</v>
      </c>
      <c r="I22" s="36"/>
      <c r="J22" s="34"/>
      <c r="K22" s="37" t="str">
        <f t="shared" ref="K22:AP22" si="10">IF(AND($J22&lt;&gt;"",K$6=$G22),"◆","")</f>
        <v/>
      </c>
      <c r="L22" s="37" t="str">
        <f t="shared" si="10"/>
        <v/>
      </c>
      <c r="M22" s="37" t="str">
        <f t="shared" si="10"/>
        <v/>
      </c>
      <c r="N22" s="37" t="str">
        <f t="shared" si="10"/>
        <v/>
      </c>
      <c r="O22" s="37" t="str">
        <f t="shared" si="10"/>
        <v/>
      </c>
      <c r="P22" s="37" t="str">
        <f t="shared" si="10"/>
        <v/>
      </c>
      <c r="Q22" s="37" t="str">
        <f t="shared" si="10"/>
        <v/>
      </c>
      <c r="R22" s="37" t="str">
        <f t="shared" si="10"/>
        <v/>
      </c>
      <c r="S22" s="37" t="str">
        <f t="shared" si="10"/>
        <v/>
      </c>
      <c r="T22" s="37" t="str">
        <f t="shared" si="10"/>
        <v/>
      </c>
      <c r="U22" s="37" t="str">
        <f t="shared" si="10"/>
        <v/>
      </c>
      <c r="V22" s="37" t="str">
        <f t="shared" si="10"/>
        <v/>
      </c>
      <c r="W22" s="37" t="str">
        <f t="shared" si="10"/>
        <v/>
      </c>
      <c r="X22" s="37" t="str">
        <f t="shared" si="10"/>
        <v/>
      </c>
      <c r="Y22" s="37" t="str">
        <f t="shared" si="10"/>
        <v/>
      </c>
      <c r="Z22" s="37" t="str">
        <f t="shared" si="10"/>
        <v/>
      </c>
      <c r="AA22" s="37" t="str">
        <f t="shared" si="10"/>
        <v/>
      </c>
      <c r="AB22" s="37" t="str">
        <f t="shared" si="10"/>
        <v/>
      </c>
      <c r="AC22" s="37" t="str">
        <f t="shared" si="10"/>
        <v/>
      </c>
      <c r="AD22" s="37" t="str">
        <f t="shared" si="10"/>
        <v/>
      </c>
      <c r="AE22" s="37" t="str">
        <f t="shared" si="10"/>
        <v/>
      </c>
      <c r="AF22" s="37" t="str">
        <f t="shared" si="10"/>
        <v/>
      </c>
      <c r="AG22" s="37" t="str">
        <f t="shared" si="10"/>
        <v/>
      </c>
      <c r="AH22" s="37" t="str">
        <f t="shared" si="10"/>
        <v/>
      </c>
      <c r="AI22" s="37" t="str">
        <f t="shared" si="10"/>
        <v/>
      </c>
      <c r="AJ22" s="37" t="str">
        <f t="shared" si="10"/>
        <v/>
      </c>
      <c r="AK22" s="37" t="str">
        <f t="shared" si="10"/>
        <v/>
      </c>
      <c r="AL22" s="37" t="str">
        <f t="shared" si="10"/>
        <v/>
      </c>
      <c r="AM22" s="37" t="str">
        <f t="shared" si="10"/>
        <v/>
      </c>
      <c r="AN22" s="37" t="str">
        <f t="shared" si="10"/>
        <v/>
      </c>
      <c r="AO22" s="37" t="str">
        <f t="shared" si="10"/>
        <v/>
      </c>
      <c r="AP22" s="37" t="str">
        <f t="shared" si="10"/>
        <v/>
      </c>
      <c r="AQ22" s="37" t="str">
        <f t="shared" ref="AQ22:BH22" si="11">IF(AND($J22&lt;&gt;"",AQ$6=$G22),"◆","")</f>
        <v/>
      </c>
      <c r="AR22" s="37" t="str">
        <f t="shared" si="11"/>
        <v/>
      </c>
      <c r="AS22" s="37" t="str">
        <f t="shared" si="11"/>
        <v/>
      </c>
      <c r="AT22" s="37" t="str">
        <f t="shared" si="11"/>
        <v/>
      </c>
      <c r="AU22" s="37" t="str">
        <f t="shared" si="11"/>
        <v/>
      </c>
      <c r="AV22" s="37" t="str">
        <f t="shared" si="11"/>
        <v/>
      </c>
      <c r="AW22" s="37" t="str">
        <f t="shared" si="11"/>
        <v/>
      </c>
      <c r="AX22" s="37" t="str">
        <f t="shared" si="11"/>
        <v/>
      </c>
      <c r="AY22" s="37" t="str">
        <f t="shared" si="11"/>
        <v/>
      </c>
      <c r="AZ22" s="37" t="str">
        <f t="shared" si="11"/>
        <v/>
      </c>
      <c r="BA22" s="37" t="str">
        <f t="shared" si="11"/>
        <v/>
      </c>
      <c r="BB22" s="37" t="str">
        <f t="shared" si="11"/>
        <v/>
      </c>
      <c r="BC22" s="37" t="str">
        <f t="shared" si="11"/>
        <v/>
      </c>
      <c r="BD22" s="37" t="str">
        <f t="shared" si="11"/>
        <v/>
      </c>
      <c r="BE22" s="37" t="str">
        <f t="shared" si="11"/>
        <v/>
      </c>
      <c r="BF22" s="37" t="str">
        <f t="shared" si="11"/>
        <v/>
      </c>
      <c r="BG22" s="37" t="str">
        <f t="shared" si="11"/>
        <v/>
      </c>
      <c r="BH22" s="37" t="str">
        <f t="shared" si="11"/>
        <v/>
      </c>
    </row>
    <row r="23" spans="1:60" x14ac:dyDescent="0.2">
      <c r="A23" s="25" t="s">
        <v>45</v>
      </c>
      <c r="B23" s="26" t="s">
        <v>29</v>
      </c>
      <c r="C23" s="25" t="s">
        <v>30</v>
      </c>
      <c r="D23" s="25" t="str">
        <f>D22</f>
        <v>Critical</v>
      </c>
      <c r="E23" s="27"/>
      <c r="F23" s="27"/>
      <c r="G23" s="27"/>
      <c r="H23" s="28" t="str">
        <f>IF(OR(F23="",G23=""),"",G23-F23+1)</f>
        <v/>
      </c>
      <c r="I23" s="29" t="str">
        <f>IF(G23="","",G23-G22)</f>
        <v/>
      </c>
      <c r="J23" s="28"/>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row>
    <row r="24" spans="1:60" x14ac:dyDescent="0.2">
      <c r="A24" s="18" t="s">
        <v>47</v>
      </c>
      <c r="B24" s="19" t="s">
        <v>48</v>
      </c>
      <c r="C24" s="20" t="s">
        <v>27</v>
      </c>
      <c r="D24" s="21" t="s">
        <v>33</v>
      </c>
      <c r="E24" s="22">
        <v>5</v>
      </c>
      <c r="F24" s="22">
        <v>9</v>
      </c>
      <c r="G24" s="22">
        <v>10</v>
      </c>
      <c r="H24" s="23">
        <f>G24-F24+1</f>
        <v>2</v>
      </c>
      <c r="I24" s="23"/>
      <c r="J24" s="21"/>
      <c r="K24" s="24" t="str">
        <f t="shared" ref="K24:AP24" si="12">IF(AND($J24&lt;&gt;"",K$6=$G24),"◆","")</f>
        <v/>
      </c>
      <c r="L24" s="24" t="str">
        <f t="shared" si="12"/>
        <v/>
      </c>
      <c r="M24" s="24" t="str">
        <f t="shared" si="12"/>
        <v/>
      </c>
      <c r="N24" s="24" t="str">
        <f t="shared" si="12"/>
        <v/>
      </c>
      <c r="O24" s="24" t="str">
        <f t="shared" si="12"/>
        <v/>
      </c>
      <c r="P24" s="24" t="str">
        <f t="shared" si="12"/>
        <v/>
      </c>
      <c r="Q24" s="24" t="str">
        <f t="shared" si="12"/>
        <v/>
      </c>
      <c r="R24" s="24" t="str">
        <f t="shared" si="12"/>
        <v/>
      </c>
      <c r="S24" s="24" t="str">
        <f t="shared" si="12"/>
        <v/>
      </c>
      <c r="T24" s="24" t="str">
        <f t="shared" si="12"/>
        <v/>
      </c>
      <c r="U24" s="24" t="str">
        <f t="shared" si="12"/>
        <v/>
      </c>
      <c r="V24" s="24" t="str">
        <f t="shared" si="12"/>
        <v/>
      </c>
      <c r="W24" s="24" t="str">
        <f t="shared" si="12"/>
        <v/>
      </c>
      <c r="X24" s="24" t="str">
        <f t="shared" si="12"/>
        <v/>
      </c>
      <c r="Y24" s="24" t="str">
        <f t="shared" si="12"/>
        <v/>
      </c>
      <c r="Z24" s="24" t="str">
        <f t="shared" si="12"/>
        <v/>
      </c>
      <c r="AA24" s="24" t="str">
        <f t="shared" si="12"/>
        <v/>
      </c>
      <c r="AB24" s="24" t="str">
        <f t="shared" si="12"/>
        <v/>
      </c>
      <c r="AC24" s="24" t="str">
        <f t="shared" si="12"/>
        <v/>
      </c>
      <c r="AD24" s="24" t="str">
        <f t="shared" si="12"/>
        <v/>
      </c>
      <c r="AE24" s="24" t="str">
        <f t="shared" si="12"/>
        <v/>
      </c>
      <c r="AF24" s="24" t="str">
        <f t="shared" si="12"/>
        <v/>
      </c>
      <c r="AG24" s="24" t="str">
        <f t="shared" si="12"/>
        <v/>
      </c>
      <c r="AH24" s="24" t="str">
        <f t="shared" si="12"/>
        <v/>
      </c>
      <c r="AI24" s="24" t="str">
        <f t="shared" si="12"/>
        <v/>
      </c>
      <c r="AJ24" s="24" t="str">
        <f t="shared" si="12"/>
        <v/>
      </c>
      <c r="AK24" s="24" t="str">
        <f t="shared" si="12"/>
        <v/>
      </c>
      <c r="AL24" s="24" t="str">
        <f t="shared" si="12"/>
        <v/>
      </c>
      <c r="AM24" s="24" t="str">
        <f t="shared" si="12"/>
        <v/>
      </c>
      <c r="AN24" s="24" t="str">
        <f t="shared" si="12"/>
        <v/>
      </c>
      <c r="AO24" s="24" t="str">
        <f t="shared" si="12"/>
        <v/>
      </c>
      <c r="AP24" s="24" t="str">
        <f t="shared" si="12"/>
        <v/>
      </c>
      <c r="AQ24" s="24" t="str">
        <f t="shared" ref="AQ24:BH24" si="13">IF(AND($J24&lt;&gt;"",AQ$6=$G24),"◆","")</f>
        <v/>
      </c>
      <c r="AR24" s="24" t="str">
        <f t="shared" si="13"/>
        <v/>
      </c>
      <c r="AS24" s="24" t="str">
        <f t="shared" si="13"/>
        <v/>
      </c>
      <c r="AT24" s="24" t="str">
        <f t="shared" si="13"/>
        <v/>
      </c>
      <c r="AU24" s="24" t="str">
        <f t="shared" si="13"/>
        <v/>
      </c>
      <c r="AV24" s="24" t="str">
        <f t="shared" si="13"/>
        <v/>
      </c>
      <c r="AW24" s="24" t="str">
        <f t="shared" si="13"/>
        <v/>
      </c>
      <c r="AX24" s="24" t="str">
        <f t="shared" si="13"/>
        <v/>
      </c>
      <c r="AY24" s="24" t="str">
        <f t="shared" si="13"/>
        <v/>
      </c>
      <c r="AZ24" s="24" t="str">
        <f t="shared" si="13"/>
        <v/>
      </c>
      <c r="BA24" s="24" t="str">
        <f t="shared" si="13"/>
        <v/>
      </c>
      <c r="BB24" s="24" t="str">
        <f t="shared" si="13"/>
        <v/>
      </c>
      <c r="BC24" s="24" t="str">
        <f t="shared" si="13"/>
        <v/>
      </c>
      <c r="BD24" s="24" t="str">
        <f t="shared" si="13"/>
        <v/>
      </c>
      <c r="BE24" s="24" t="str">
        <f t="shared" si="13"/>
        <v/>
      </c>
      <c r="BF24" s="24" t="str">
        <f t="shared" si="13"/>
        <v/>
      </c>
      <c r="BG24" s="24" t="str">
        <f t="shared" si="13"/>
        <v/>
      </c>
      <c r="BH24" s="24" t="str">
        <f t="shared" si="13"/>
        <v/>
      </c>
    </row>
    <row r="25" spans="1:60" x14ac:dyDescent="0.2">
      <c r="A25" s="25" t="s">
        <v>47</v>
      </c>
      <c r="B25" s="26" t="s">
        <v>29</v>
      </c>
      <c r="C25" s="25" t="s">
        <v>30</v>
      </c>
      <c r="D25" s="25" t="str">
        <f>D24</f>
        <v>Critical</v>
      </c>
      <c r="E25" s="27"/>
      <c r="F25" s="27"/>
      <c r="G25" s="27"/>
      <c r="H25" s="28" t="str">
        <f>IF(OR(F25="",G25=""),"",G25-F25+1)</f>
        <v/>
      </c>
      <c r="I25" s="29" t="str">
        <f>IF(G25="","",G25-G24)</f>
        <v/>
      </c>
      <c r="J25" s="28"/>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row>
    <row r="26" spans="1:60" x14ac:dyDescent="0.2">
      <c r="A26" s="31" t="s">
        <v>49</v>
      </c>
      <c r="B26" s="32" t="s">
        <v>50</v>
      </c>
      <c r="C26" s="33" t="s">
        <v>27</v>
      </c>
      <c r="D26" s="34" t="s">
        <v>33</v>
      </c>
      <c r="E26" s="35">
        <v>4</v>
      </c>
      <c r="F26" s="35">
        <v>10</v>
      </c>
      <c r="G26" s="35">
        <v>11</v>
      </c>
      <c r="H26" s="36">
        <f>G26-F26+1</f>
        <v>2</v>
      </c>
      <c r="I26" s="36"/>
      <c r="J26" s="34"/>
      <c r="K26" s="37" t="str">
        <f t="shared" ref="K26:AP26" si="14">IF(AND($J26&lt;&gt;"",K$6=$G26),"◆","")</f>
        <v/>
      </c>
      <c r="L26" s="37" t="str">
        <f t="shared" si="14"/>
        <v/>
      </c>
      <c r="M26" s="37" t="str">
        <f t="shared" si="14"/>
        <v/>
      </c>
      <c r="N26" s="37" t="str">
        <f t="shared" si="14"/>
        <v/>
      </c>
      <c r="O26" s="37" t="str">
        <f t="shared" si="14"/>
        <v/>
      </c>
      <c r="P26" s="37" t="str">
        <f t="shared" si="14"/>
        <v/>
      </c>
      <c r="Q26" s="37" t="str">
        <f t="shared" si="14"/>
        <v/>
      </c>
      <c r="R26" s="37" t="str">
        <f t="shared" si="14"/>
        <v/>
      </c>
      <c r="S26" s="37" t="str">
        <f t="shared" si="14"/>
        <v/>
      </c>
      <c r="T26" s="37" t="str">
        <f t="shared" si="14"/>
        <v/>
      </c>
      <c r="U26" s="37" t="str">
        <f t="shared" si="14"/>
        <v/>
      </c>
      <c r="V26" s="37" t="str">
        <f t="shared" si="14"/>
        <v/>
      </c>
      <c r="W26" s="37" t="str">
        <f t="shared" si="14"/>
        <v/>
      </c>
      <c r="X26" s="37" t="str">
        <f t="shared" si="14"/>
        <v/>
      </c>
      <c r="Y26" s="37" t="str">
        <f t="shared" si="14"/>
        <v/>
      </c>
      <c r="Z26" s="37" t="str">
        <f t="shared" si="14"/>
        <v/>
      </c>
      <c r="AA26" s="37" t="str">
        <f t="shared" si="14"/>
        <v/>
      </c>
      <c r="AB26" s="37" t="str">
        <f t="shared" si="14"/>
        <v/>
      </c>
      <c r="AC26" s="37" t="str">
        <f t="shared" si="14"/>
        <v/>
      </c>
      <c r="AD26" s="37" t="str">
        <f t="shared" si="14"/>
        <v/>
      </c>
      <c r="AE26" s="37" t="str">
        <f t="shared" si="14"/>
        <v/>
      </c>
      <c r="AF26" s="37" t="str">
        <f t="shared" si="14"/>
        <v/>
      </c>
      <c r="AG26" s="37" t="str">
        <f t="shared" si="14"/>
        <v/>
      </c>
      <c r="AH26" s="37" t="str">
        <f t="shared" si="14"/>
        <v/>
      </c>
      <c r="AI26" s="37" t="str">
        <f t="shared" si="14"/>
        <v/>
      </c>
      <c r="AJ26" s="37" t="str">
        <f t="shared" si="14"/>
        <v/>
      </c>
      <c r="AK26" s="37" t="str">
        <f t="shared" si="14"/>
        <v/>
      </c>
      <c r="AL26" s="37" t="str">
        <f t="shared" si="14"/>
        <v/>
      </c>
      <c r="AM26" s="37" t="str">
        <f t="shared" si="14"/>
        <v/>
      </c>
      <c r="AN26" s="37" t="str">
        <f t="shared" si="14"/>
        <v/>
      </c>
      <c r="AO26" s="37" t="str">
        <f t="shared" si="14"/>
        <v/>
      </c>
      <c r="AP26" s="37" t="str">
        <f t="shared" si="14"/>
        <v/>
      </c>
      <c r="AQ26" s="37" t="str">
        <f t="shared" ref="AQ26:BH26" si="15">IF(AND($J26&lt;&gt;"",AQ$6=$G26),"◆","")</f>
        <v/>
      </c>
      <c r="AR26" s="37" t="str">
        <f t="shared" si="15"/>
        <v/>
      </c>
      <c r="AS26" s="37" t="str">
        <f t="shared" si="15"/>
        <v/>
      </c>
      <c r="AT26" s="37" t="str">
        <f t="shared" si="15"/>
        <v/>
      </c>
      <c r="AU26" s="37" t="str">
        <f t="shared" si="15"/>
        <v/>
      </c>
      <c r="AV26" s="37" t="str">
        <f t="shared" si="15"/>
        <v/>
      </c>
      <c r="AW26" s="37" t="str">
        <f t="shared" si="15"/>
        <v/>
      </c>
      <c r="AX26" s="37" t="str">
        <f t="shared" si="15"/>
        <v/>
      </c>
      <c r="AY26" s="37" t="str">
        <f t="shared" si="15"/>
        <v/>
      </c>
      <c r="AZ26" s="37" t="str">
        <f t="shared" si="15"/>
        <v/>
      </c>
      <c r="BA26" s="37" t="str">
        <f t="shared" si="15"/>
        <v/>
      </c>
      <c r="BB26" s="37" t="str">
        <f t="shared" si="15"/>
        <v/>
      </c>
      <c r="BC26" s="37" t="str">
        <f t="shared" si="15"/>
        <v/>
      </c>
      <c r="BD26" s="37" t="str">
        <f t="shared" si="15"/>
        <v/>
      </c>
      <c r="BE26" s="37" t="str">
        <f t="shared" si="15"/>
        <v/>
      </c>
      <c r="BF26" s="37" t="str">
        <f t="shared" si="15"/>
        <v/>
      </c>
      <c r="BG26" s="37" t="str">
        <f t="shared" si="15"/>
        <v/>
      </c>
      <c r="BH26" s="37" t="str">
        <f t="shared" si="15"/>
        <v/>
      </c>
    </row>
    <row r="27" spans="1:60" x14ac:dyDescent="0.2">
      <c r="A27" s="25" t="s">
        <v>49</v>
      </c>
      <c r="B27" s="26" t="s">
        <v>29</v>
      </c>
      <c r="C27" s="25" t="s">
        <v>30</v>
      </c>
      <c r="D27" s="25" t="str">
        <f>D26</f>
        <v>Critical</v>
      </c>
      <c r="E27" s="27"/>
      <c r="F27" s="27"/>
      <c r="G27" s="27"/>
      <c r="H27" s="28" t="str">
        <f>IF(OR(F27="",G27=""),"",G27-F27+1)</f>
        <v/>
      </c>
      <c r="I27" s="29" t="str">
        <f>IF(G27="","",G27-G26)</f>
        <v/>
      </c>
      <c r="J27" s="28"/>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row>
    <row r="28" spans="1:60" x14ac:dyDescent="0.2">
      <c r="A28" s="18" t="s">
        <v>51</v>
      </c>
      <c r="B28" s="19" t="s">
        <v>52</v>
      </c>
      <c r="C28" s="20" t="s">
        <v>27</v>
      </c>
      <c r="D28" s="21" t="s">
        <v>33</v>
      </c>
      <c r="E28" s="22">
        <v>5</v>
      </c>
      <c r="F28" s="22">
        <v>11</v>
      </c>
      <c r="G28" s="22">
        <v>12</v>
      </c>
      <c r="H28" s="23">
        <f>G28-F28+1</f>
        <v>2</v>
      </c>
      <c r="I28" s="23"/>
      <c r="J28" s="21"/>
      <c r="K28" s="24" t="str">
        <f t="shared" ref="K28:AP28" si="16">IF(AND($J28&lt;&gt;"",K$6=$G28),"◆","")</f>
        <v/>
      </c>
      <c r="L28" s="24" t="str">
        <f t="shared" si="16"/>
        <v/>
      </c>
      <c r="M28" s="24" t="str">
        <f t="shared" si="16"/>
        <v/>
      </c>
      <c r="N28" s="24" t="str">
        <f t="shared" si="16"/>
        <v/>
      </c>
      <c r="O28" s="24" t="str">
        <f t="shared" si="16"/>
        <v/>
      </c>
      <c r="P28" s="24" t="str">
        <f t="shared" si="16"/>
        <v/>
      </c>
      <c r="Q28" s="24" t="str">
        <f t="shared" si="16"/>
        <v/>
      </c>
      <c r="R28" s="24" t="str">
        <f t="shared" si="16"/>
        <v/>
      </c>
      <c r="S28" s="24" t="str">
        <f t="shared" si="16"/>
        <v/>
      </c>
      <c r="T28" s="24" t="str">
        <f t="shared" si="16"/>
        <v/>
      </c>
      <c r="U28" s="24" t="str">
        <f t="shared" si="16"/>
        <v/>
      </c>
      <c r="V28" s="24" t="str">
        <f t="shared" si="16"/>
        <v/>
      </c>
      <c r="W28" s="24" t="str">
        <f t="shared" si="16"/>
        <v/>
      </c>
      <c r="X28" s="24" t="str">
        <f t="shared" si="16"/>
        <v/>
      </c>
      <c r="Y28" s="24" t="str">
        <f t="shared" si="16"/>
        <v/>
      </c>
      <c r="Z28" s="24" t="str">
        <f t="shared" si="16"/>
        <v/>
      </c>
      <c r="AA28" s="24" t="str">
        <f t="shared" si="16"/>
        <v/>
      </c>
      <c r="AB28" s="24" t="str">
        <f t="shared" si="16"/>
        <v/>
      </c>
      <c r="AC28" s="24" t="str">
        <f t="shared" si="16"/>
        <v/>
      </c>
      <c r="AD28" s="24" t="str">
        <f t="shared" si="16"/>
        <v/>
      </c>
      <c r="AE28" s="24" t="str">
        <f t="shared" si="16"/>
        <v/>
      </c>
      <c r="AF28" s="24" t="str">
        <f t="shared" si="16"/>
        <v/>
      </c>
      <c r="AG28" s="24" t="str">
        <f t="shared" si="16"/>
        <v/>
      </c>
      <c r="AH28" s="24" t="str">
        <f t="shared" si="16"/>
        <v/>
      </c>
      <c r="AI28" s="24" t="str">
        <f t="shared" si="16"/>
        <v/>
      </c>
      <c r="AJ28" s="24" t="str">
        <f t="shared" si="16"/>
        <v/>
      </c>
      <c r="AK28" s="24" t="str">
        <f t="shared" si="16"/>
        <v/>
      </c>
      <c r="AL28" s="24" t="str">
        <f t="shared" si="16"/>
        <v/>
      </c>
      <c r="AM28" s="24" t="str">
        <f t="shared" si="16"/>
        <v/>
      </c>
      <c r="AN28" s="24" t="str">
        <f t="shared" si="16"/>
        <v/>
      </c>
      <c r="AO28" s="24" t="str">
        <f t="shared" si="16"/>
        <v/>
      </c>
      <c r="AP28" s="24" t="str">
        <f t="shared" si="16"/>
        <v/>
      </c>
      <c r="AQ28" s="24" t="str">
        <f t="shared" ref="AQ28:BH28" si="17">IF(AND($J28&lt;&gt;"",AQ$6=$G28),"◆","")</f>
        <v/>
      </c>
      <c r="AR28" s="24" t="str">
        <f t="shared" si="17"/>
        <v/>
      </c>
      <c r="AS28" s="24" t="str">
        <f t="shared" si="17"/>
        <v/>
      </c>
      <c r="AT28" s="24" t="str">
        <f t="shared" si="17"/>
        <v/>
      </c>
      <c r="AU28" s="24" t="str">
        <f t="shared" si="17"/>
        <v/>
      </c>
      <c r="AV28" s="24" t="str">
        <f t="shared" si="17"/>
        <v/>
      </c>
      <c r="AW28" s="24" t="str">
        <f t="shared" si="17"/>
        <v/>
      </c>
      <c r="AX28" s="24" t="str">
        <f t="shared" si="17"/>
        <v/>
      </c>
      <c r="AY28" s="24" t="str">
        <f t="shared" si="17"/>
        <v/>
      </c>
      <c r="AZ28" s="24" t="str">
        <f t="shared" si="17"/>
        <v/>
      </c>
      <c r="BA28" s="24" t="str">
        <f t="shared" si="17"/>
        <v/>
      </c>
      <c r="BB28" s="24" t="str">
        <f t="shared" si="17"/>
        <v/>
      </c>
      <c r="BC28" s="24" t="str">
        <f t="shared" si="17"/>
        <v/>
      </c>
      <c r="BD28" s="24" t="str">
        <f t="shared" si="17"/>
        <v/>
      </c>
      <c r="BE28" s="24" t="str">
        <f t="shared" si="17"/>
        <v/>
      </c>
      <c r="BF28" s="24" t="str">
        <f t="shared" si="17"/>
        <v/>
      </c>
      <c r="BG28" s="24" t="str">
        <f t="shared" si="17"/>
        <v/>
      </c>
      <c r="BH28" s="24" t="str">
        <f t="shared" si="17"/>
        <v/>
      </c>
    </row>
    <row r="29" spans="1:60" x14ac:dyDescent="0.2">
      <c r="A29" s="25" t="s">
        <v>51</v>
      </c>
      <c r="B29" s="26" t="s">
        <v>29</v>
      </c>
      <c r="C29" s="25" t="s">
        <v>30</v>
      </c>
      <c r="D29" s="25" t="str">
        <f>D28</f>
        <v>Critical</v>
      </c>
      <c r="E29" s="27"/>
      <c r="F29" s="27"/>
      <c r="G29" s="27"/>
      <c r="H29" s="28" t="str">
        <f>IF(OR(F29="",G29=""),"",G29-F29+1)</f>
        <v/>
      </c>
      <c r="I29" s="29" t="str">
        <f>IF(G29="","",G29-G28)</f>
        <v/>
      </c>
      <c r="J29" s="28"/>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row>
    <row r="30" spans="1:60" x14ac:dyDescent="0.2">
      <c r="A30" s="31" t="s">
        <v>53</v>
      </c>
      <c r="B30" s="32" t="s">
        <v>54</v>
      </c>
      <c r="C30" s="33" t="s">
        <v>27</v>
      </c>
      <c r="D30" s="34" t="s">
        <v>33</v>
      </c>
      <c r="E30" s="35">
        <v>6</v>
      </c>
      <c r="F30" s="35">
        <v>13</v>
      </c>
      <c r="G30" s="35">
        <v>15</v>
      </c>
      <c r="H30" s="36">
        <f>G30-F30+1</f>
        <v>3</v>
      </c>
      <c r="I30" s="36"/>
      <c r="J30" s="34"/>
      <c r="K30" s="37" t="str">
        <f t="shared" ref="K30:AP30" si="18">IF(AND($J30&lt;&gt;"",K$6=$G30),"◆","")</f>
        <v/>
      </c>
      <c r="L30" s="37" t="str">
        <f t="shared" si="18"/>
        <v/>
      </c>
      <c r="M30" s="37" t="str">
        <f t="shared" si="18"/>
        <v/>
      </c>
      <c r="N30" s="37" t="str">
        <f t="shared" si="18"/>
        <v/>
      </c>
      <c r="O30" s="37" t="str">
        <f t="shared" si="18"/>
        <v/>
      </c>
      <c r="P30" s="37" t="str">
        <f t="shared" si="18"/>
        <v/>
      </c>
      <c r="Q30" s="37" t="str">
        <f t="shared" si="18"/>
        <v/>
      </c>
      <c r="R30" s="37" t="str">
        <f t="shared" si="18"/>
        <v/>
      </c>
      <c r="S30" s="37" t="str">
        <f t="shared" si="18"/>
        <v/>
      </c>
      <c r="T30" s="37" t="str">
        <f t="shared" si="18"/>
        <v/>
      </c>
      <c r="U30" s="37" t="str">
        <f t="shared" si="18"/>
        <v/>
      </c>
      <c r="V30" s="37" t="str">
        <f t="shared" si="18"/>
        <v/>
      </c>
      <c r="W30" s="37" t="str">
        <f t="shared" si="18"/>
        <v/>
      </c>
      <c r="X30" s="37" t="str">
        <f t="shared" si="18"/>
        <v/>
      </c>
      <c r="Y30" s="37" t="str">
        <f t="shared" si="18"/>
        <v/>
      </c>
      <c r="Z30" s="37" t="str">
        <f t="shared" si="18"/>
        <v/>
      </c>
      <c r="AA30" s="37" t="str">
        <f t="shared" si="18"/>
        <v/>
      </c>
      <c r="AB30" s="37" t="str">
        <f t="shared" si="18"/>
        <v/>
      </c>
      <c r="AC30" s="37" t="str">
        <f t="shared" si="18"/>
        <v/>
      </c>
      <c r="AD30" s="37" t="str">
        <f t="shared" si="18"/>
        <v/>
      </c>
      <c r="AE30" s="37" t="str">
        <f t="shared" si="18"/>
        <v/>
      </c>
      <c r="AF30" s="37" t="str">
        <f t="shared" si="18"/>
        <v/>
      </c>
      <c r="AG30" s="37" t="str">
        <f t="shared" si="18"/>
        <v/>
      </c>
      <c r="AH30" s="37" t="str">
        <f t="shared" si="18"/>
        <v/>
      </c>
      <c r="AI30" s="37" t="str">
        <f t="shared" si="18"/>
        <v/>
      </c>
      <c r="AJ30" s="37" t="str">
        <f t="shared" si="18"/>
        <v/>
      </c>
      <c r="AK30" s="37" t="str">
        <f t="shared" si="18"/>
        <v/>
      </c>
      <c r="AL30" s="37" t="str">
        <f t="shared" si="18"/>
        <v/>
      </c>
      <c r="AM30" s="37" t="str">
        <f t="shared" si="18"/>
        <v/>
      </c>
      <c r="AN30" s="37" t="str">
        <f t="shared" si="18"/>
        <v/>
      </c>
      <c r="AO30" s="37" t="str">
        <f t="shared" si="18"/>
        <v/>
      </c>
      <c r="AP30" s="37" t="str">
        <f t="shared" si="18"/>
        <v/>
      </c>
      <c r="AQ30" s="37" t="str">
        <f t="shared" ref="AQ30:BH30" si="19">IF(AND($J30&lt;&gt;"",AQ$6=$G30),"◆","")</f>
        <v/>
      </c>
      <c r="AR30" s="37" t="str">
        <f t="shared" si="19"/>
        <v/>
      </c>
      <c r="AS30" s="37" t="str">
        <f t="shared" si="19"/>
        <v/>
      </c>
      <c r="AT30" s="37" t="str">
        <f t="shared" si="19"/>
        <v/>
      </c>
      <c r="AU30" s="37" t="str">
        <f t="shared" si="19"/>
        <v/>
      </c>
      <c r="AV30" s="37" t="str">
        <f t="shared" si="19"/>
        <v/>
      </c>
      <c r="AW30" s="37" t="str">
        <f t="shared" si="19"/>
        <v/>
      </c>
      <c r="AX30" s="37" t="str">
        <f t="shared" si="19"/>
        <v/>
      </c>
      <c r="AY30" s="37" t="str">
        <f t="shared" si="19"/>
        <v/>
      </c>
      <c r="AZ30" s="37" t="str">
        <f t="shared" si="19"/>
        <v/>
      </c>
      <c r="BA30" s="37" t="str">
        <f t="shared" si="19"/>
        <v/>
      </c>
      <c r="BB30" s="37" t="str">
        <f t="shared" si="19"/>
        <v/>
      </c>
      <c r="BC30" s="37" t="str">
        <f t="shared" si="19"/>
        <v/>
      </c>
      <c r="BD30" s="37" t="str">
        <f t="shared" si="19"/>
        <v/>
      </c>
      <c r="BE30" s="37" t="str">
        <f t="shared" si="19"/>
        <v/>
      </c>
      <c r="BF30" s="37" t="str">
        <f t="shared" si="19"/>
        <v/>
      </c>
      <c r="BG30" s="37" t="str">
        <f t="shared" si="19"/>
        <v/>
      </c>
      <c r="BH30" s="37" t="str">
        <f t="shared" si="19"/>
        <v/>
      </c>
    </row>
    <row r="31" spans="1:60" x14ac:dyDescent="0.2">
      <c r="A31" s="25" t="s">
        <v>53</v>
      </c>
      <c r="B31" s="26" t="s">
        <v>29</v>
      </c>
      <c r="C31" s="25" t="s">
        <v>30</v>
      </c>
      <c r="D31" s="25" t="str">
        <f>D30</f>
        <v>Critical</v>
      </c>
      <c r="E31" s="27"/>
      <c r="F31" s="27"/>
      <c r="G31" s="27"/>
      <c r="H31" s="28" t="str">
        <f>IF(OR(F31="",G31=""),"",G31-F31+1)</f>
        <v/>
      </c>
      <c r="I31" s="29" t="str">
        <f>IF(G31="","",G31-G30)</f>
        <v/>
      </c>
      <c r="J31" s="28"/>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row>
    <row r="32" spans="1:60" x14ac:dyDescent="0.2">
      <c r="A32" s="10" t="s">
        <v>55</v>
      </c>
      <c r="B32" s="11" t="s">
        <v>56</v>
      </c>
      <c r="C32" s="10" t="s">
        <v>27</v>
      </c>
      <c r="D32" s="10" t="s">
        <v>28</v>
      </c>
      <c r="E32" s="10">
        <f>SUMIFS(E34:E39,C34:C39,"Plan")</f>
        <v>15</v>
      </c>
      <c r="F32" s="10">
        <f>_xlfn.MINIFS(F34:F39,C34:C39,"Plan")</f>
        <v>16</v>
      </c>
      <c r="G32" s="10">
        <f>_xlfn.MAXIFS(G34:G39,C34:C39,"Plan")</f>
        <v>20</v>
      </c>
      <c r="H32" s="10">
        <f>G32-F32+1</f>
        <v>5</v>
      </c>
      <c r="I32" s="10"/>
      <c r="J32" s="10"/>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row>
    <row r="33" spans="1:60" x14ac:dyDescent="0.2">
      <c r="A33" s="13" t="s">
        <v>55</v>
      </c>
      <c r="B33" s="14" t="s">
        <v>29</v>
      </c>
      <c r="C33" s="13" t="s">
        <v>30</v>
      </c>
      <c r="D33" s="13" t="s">
        <v>28</v>
      </c>
      <c r="E33" s="15">
        <f>SUMIFS(E34:E39,C34:C39,"Actual")</f>
        <v>0</v>
      </c>
      <c r="F33" s="13" t="str">
        <f>IF(COUNTIFS(C34:C39,"Actual",F34:F39,"&lt;&gt;")=0,"",_xlfn.MINIFS(F34:F39,C34:C39,"Actual"))</f>
        <v/>
      </c>
      <c r="G33" s="13" t="str">
        <f>IF(COUNTIFS(C34:C39,"Actual",G34:G39,"")&gt;0,"",_xlfn.MAXIFS(G34:G39,C34:C39,"Actual"))</f>
        <v/>
      </c>
      <c r="H33" s="13" t="str">
        <f>IF(OR(F33="",G33=""),"",G33-F33+1)</f>
        <v/>
      </c>
      <c r="I33" s="16" t="str">
        <f>IF(G33="","",G33-G32)</f>
        <v/>
      </c>
      <c r="J33" s="13"/>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row>
    <row r="34" spans="1:60" x14ac:dyDescent="0.2">
      <c r="A34" s="18" t="s">
        <v>57</v>
      </c>
      <c r="B34" s="19" t="s">
        <v>58</v>
      </c>
      <c r="C34" s="20" t="s">
        <v>27</v>
      </c>
      <c r="D34" s="21" t="s">
        <v>33</v>
      </c>
      <c r="E34" s="22">
        <v>4</v>
      </c>
      <c r="F34" s="22">
        <v>16</v>
      </c>
      <c r="G34" s="22">
        <v>16</v>
      </c>
      <c r="H34" s="23">
        <f>G34-F34+1</f>
        <v>1</v>
      </c>
      <c r="I34" s="23"/>
      <c r="J34" s="21"/>
      <c r="K34" s="24" t="str">
        <f t="shared" ref="K34:AP34" si="20">IF(AND($J34&lt;&gt;"",K$6=$G34),"◆","")</f>
        <v/>
      </c>
      <c r="L34" s="24" t="str">
        <f t="shared" si="20"/>
        <v/>
      </c>
      <c r="M34" s="24" t="str">
        <f t="shared" si="20"/>
        <v/>
      </c>
      <c r="N34" s="24" t="str">
        <f t="shared" si="20"/>
        <v/>
      </c>
      <c r="O34" s="24" t="str">
        <f t="shared" si="20"/>
        <v/>
      </c>
      <c r="P34" s="24" t="str">
        <f t="shared" si="20"/>
        <v/>
      </c>
      <c r="Q34" s="24" t="str">
        <f t="shared" si="20"/>
        <v/>
      </c>
      <c r="R34" s="24" t="str">
        <f t="shared" si="20"/>
        <v/>
      </c>
      <c r="S34" s="24" t="str">
        <f t="shared" si="20"/>
        <v/>
      </c>
      <c r="T34" s="24" t="str">
        <f t="shared" si="20"/>
        <v/>
      </c>
      <c r="U34" s="24" t="str">
        <f t="shared" si="20"/>
        <v/>
      </c>
      <c r="V34" s="24" t="str">
        <f t="shared" si="20"/>
        <v/>
      </c>
      <c r="W34" s="24" t="str">
        <f t="shared" si="20"/>
        <v/>
      </c>
      <c r="X34" s="24" t="str">
        <f t="shared" si="20"/>
        <v/>
      </c>
      <c r="Y34" s="24" t="str">
        <f t="shared" si="20"/>
        <v/>
      </c>
      <c r="Z34" s="24" t="str">
        <f t="shared" si="20"/>
        <v/>
      </c>
      <c r="AA34" s="24" t="str">
        <f t="shared" si="20"/>
        <v/>
      </c>
      <c r="AB34" s="24" t="str">
        <f t="shared" si="20"/>
        <v/>
      </c>
      <c r="AC34" s="24" t="str">
        <f t="shared" si="20"/>
        <v/>
      </c>
      <c r="AD34" s="24" t="str">
        <f t="shared" si="20"/>
        <v/>
      </c>
      <c r="AE34" s="24" t="str">
        <f t="shared" si="20"/>
        <v/>
      </c>
      <c r="AF34" s="24" t="str">
        <f t="shared" si="20"/>
        <v/>
      </c>
      <c r="AG34" s="24" t="str">
        <f t="shared" si="20"/>
        <v/>
      </c>
      <c r="AH34" s="24" t="str">
        <f t="shared" si="20"/>
        <v/>
      </c>
      <c r="AI34" s="24" t="str">
        <f t="shared" si="20"/>
        <v/>
      </c>
      <c r="AJ34" s="24" t="str">
        <f t="shared" si="20"/>
        <v/>
      </c>
      <c r="AK34" s="24" t="str">
        <f t="shared" si="20"/>
        <v/>
      </c>
      <c r="AL34" s="24" t="str">
        <f t="shared" si="20"/>
        <v/>
      </c>
      <c r="AM34" s="24" t="str">
        <f t="shared" si="20"/>
        <v/>
      </c>
      <c r="AN34" s="24" t="str">
        <f t="shared" si="20"/>
        <v/>
      </c>
      <c r="AO34" s="24" t="str">
        <f t="shared" si="20"/>
        <v/>
      </c>
      <c r="AP34" s="24" t="str">
        <f t="shared" si="20"/>
        <v/>
      </c>
      <c r="AQ34" s="24" t="str">
        <f t="shared" ref="AQ34:BH34" si="21">IF(AND($J34&lt;&gt;"",AQ$6=$G34),"◆","")</f>
        <v/>
      </c>
      <c r="AR34" s="24" t="str">
        <f t="shared" si="21"/>
        <v/>
      </c>
      <c r="AS34" s="24" t="str">
        <f t="shared" si="21"/>
        <v/>
      </c>
      <c r="AT34" s="24" t="str">
        <f t="shared" si="21"/>
        <v/>
      </c>
      <c r="AU34" s="24" t="str">
        <f t="shared" si="21"/>
        <v/>
      </c>
      <c r="AV34" s="24" t="str">
        <f t="shared" si="21"/>
        <v/>
      </c>
      <c r="AW34" s="24" t="str">
        <f t="shared" si="21"/>
        <v/>
      </c>
      <c r="AX34" s="24" t="str">
        <f t="shared" si="21"/>
        <v/>
      </c>
      <c r="AY34" s="24" t="str">
        <f t="shared" si="21"/>
        <v/>
      </c>
      <c r="AZ34" s="24" t="str">
        <f t="shared" si="21"/>
        <v/>
      </c>
      <c r="BA34" s="24" t="str">
        <f t="shared" si="21"/>
        <v/>
      </c>
      <c r="BB34" s="24" t="str">
        <f t="shared" si="21"/>
        <v/>
      </c>
      <c r="BC34" s="24" t="str">
        <f t="shared" si="21"/>
        <v/>
      </c>
      <c r="BD34" s="24" t="str">
        <f t="shared" si="21"/>
        <v/>
      </c>
      <c r="BE34" s="24" t="str">
        <f t="shared" si="21"/>
        <v/>
      </c>
      <c r="BF34" s="24" t="str">
        <f t="shared" si="21"/>
        <v/>
      </c>
      <c r="BG34" s="24" t="str">
        <f t="shared" si="21"/>
        <v/>
      </c>
      <c r="BH34" s="24" t="str">
        <f t="shared" si="21"/>
        <v/>
      </c>
    </row>
    <row r="35" spans="1:60" x14ac:dyDescent="0.2">
      <c r="A35" s="25" t="s">
        <v>57</v>
      </c>
      <c r="B35" s="26" t="s">
        <v>29</v>
      </c>
      <c r="C35" s="25" t="s">
        <v>30</v>
      </c>
      <c r="D35" s="25" t="str">
        <f>D34</f>
        <v>Critical</v>
      </c>
      <c r="E35" s="27"/>
      <c r="F35" s="27"/>
      <c r="G35" s="27"/>
      <c r="H35" s="28" t="str">
        <f>IF(OR(F35="",G35=""),"",G35-F35+1)</f>
        <v/>
      </c>
      <c r="I35" s="29" t="str">
        <f>IF(G35="","",G35-G34)</f>
        <v/>
      </c>
      <c r="J35" s="28"/>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row>
    <row r="36" spans="1:60" x14ac:dyDescent="0.2">
      <c r="A36" s="31" t="s">
        <v>59</v>
      </c>
      <c r="B36" s="32" t="s">
        <v>60</v>
      </c>
      <c r="C36" s="33" t="s">
        <v>27</v>
      </c>
      <c r="D36" s="34" t="s">
        <v>33</v>
      </c>
      <c r="E36" s="35">
        <v>6</v>
      </c>
      <c r="F36" s="35">
        <v>17</v>
      </c>
      <c r="G36" s="35">
        <v>18</v>
      </c>
      <c r="H36" s="36">
        <f>G36-F36+1</f>
        <v>2</v>
      </c>
      <c r="I36" s="36"/>
      <c r="J36" s="34"/>
      <c r="K36" s="37" t="str">
        <f t="shared" ref="K36:AP36" si="22">IF(AND($J36&lt;&gt;"",K$6=$G36),"◆","")</f>
        <v/>
      </c>
      <c r="L36" s="37" t="str">
        <f t="shared" si="22"/>
        <v/>
      </c>
      <c r="M36" s="37" t="str">
        <f t="shared" si="22"/>
        <v/>
      </c>
      <c r="N36" s="37" t="str">
        <f t="shared" si="22"/>
        <v/>
      </c>
      <c r="O36" s="37" t="str">
        <f t="shared" si="22"/>
        <v/>
      </c>
      <c r="P36" s="37" t="str">
        <f t="shared" si="22"/>
        <v/>
      </c>
      <c r="Q36" s="37" t="str">
        <f t="shared" si="22"/>
        <v/>
      </c>
      <c r="R36" s="37" t="str">
        <f t="shared" si="22"/>
        <v/>
      </c>
      <c r="S36" s="37" t="str">
        <f t="shared" si="22"/>
        <v/>
      </c>
      <c r="T36" s="37" t="str">
        <f t="shared" si="22"/>
        <v/>
      </c>
      <c r="U36" s="37" t="str">
        <f t="shared" si="22"/>
        <v/>
      </c>
      <c r="V36" s="37" t="str">
        <f t="shared" si="22"/>
        <v/>
      </c>
      <c r="W36" s="37" t="str">
        <f t="shared" si="22"/>
        <v/>
      </c>
      <c r="X36" s="37" t="str">
        <f t="shared" si="22"/>
        <v/>
      </c>
      <c r="Y36" s="37" t="str">
        <f t="shared" si="22"/>
        <v/>
      </c>
      <c r="Z36" s="37" t="str">
        <f t="shared" si="22"/>
        <v/>
      </c>
      <c r="AA36" s="37" t="str">
        <f t="shared" si="22"/>
        <v/>
      </c>
      <c r="AB36" s="37" t="str">
        <f t="shared" si="22"/>
        <v/>
      </c>
      <c r="AC36" s="37" t="str">
        <f t="shared" si="22"/>
        <v/>
      </c>
      <c r="AD36" s="37" t="str">
        <f t="shared" si="22"/>
        <v/>
      </c>
      <c r="AE36" s="37" t="str">
        <f t="shared" si="22"/>
        <v/>
      </c>
      <c r="AF36" s="37" t="str">
        <f t="shared" si="22"/>
        <v/>
      </c>
      <c r="AG36" s="37" t="str">
        <f t="shared" si="22"/>
        <v/>
      </c>
      <c r="AH36" s="37" t="str">
        <f t="shared" si="22"/>
        <v/>
      </c>
      <c r="AI36" s="37" t="str">
        <f t="shared" si="22"/>
        <v/>
      </c>
      <c r="AJ36" s="37" t="str">
        <f t="shared" si="22"/>
        <v/>
      </c>
      <c r="AK36" s="37" t="str">
        <f t="shared" si="22"/>
        <v/>
      </c>
      <c r="AL36" s="37" t="str">
        <f t="shared" si="22"/>
        <v/>
      </c>
      <c r="AM36" s="37" t="str">
        <f t="shared" si="22"/>
        <v/>
      </c>
      <c r="AN36" s="37" t="str">
        <f t="shared" si="22"/>
        <v/>
      </c>
      <c r="AO36" s="37" t="str">
        <f t="shared" si="22"/>
        <v/>
      </c>
      <c r="AP36" s="37" t="str">
        <f t="shared" si="22"/>
        <v/>
      </c>
      <c r="AQ36" s="37" t="str">
        <f t="shared" ref="AQ36:BH36" si="23">IF(AND($J36&lt;&gt;"",AQ$6=$G36),"◆","")</f>
        <v/>
      </c>
      <c r="AR36" s="37" t="str">
        <f t="shared" si="23"/>
        <v/>
      </c>
      <c r="AS36" s="37" t="str">
        <f t="shared" si="23"/>
        <v/>
      </c>
      <c r="AT36" s="37" t="str">
        <f t="shared" si="23"/>
        <v/>
      </c>
      <c r="AU36" s="37" t="str">
        <f t="shared" si="23"/>
        <v/>
      </c>
      <c r="AV36" s="37" t="str">
        <f t="shared" si="23"/>
        <v/>
      </c>
      <c r="AW36" s="37" t="str">
        <f t="shared" si="23"/>
        <v/>
      </c>
      <c r="AX36" s="37" t="str">
        <f t="shared" si="23"/>
        <v/>
      </c>
      <c r="AY36" s="37" t="str">
        <f t="shared" si="23"/>
        <v/>
      </c>
      <c r="AZ36" s="37" t="str">
        <f t="shared" si="23"/>
        <v/>
      </c>
      <c r="BA36" s="37" t="str">
        <f t="shared" si="23"/>
        <v/>
      </c>
      <c r="BB36" s="37" t="str">
        <f t="shared" si="23"/>
        <v/>
      </c>
      <c r="BC36" s="37" t="str">
        <f t="shared" si="23"/>
        <v/>
      </c>
      <c r="BD36" s="37" t="str">
        <f t="shared" si="23"/>
        <v/>
      </c>
      <c r="BE36" s="37" t="str">
        <f t="shared" si="23"/>
        <v/>
      </c>
      <c r="BF36" s="37" t="str">
        <f t="shared" si="23"/>
        <v/>
      </c>
      <c r="BG36" s="37" t="str">
        <f t="shared" si="23"/>
        <v/>
      </c>
      <c r="BH36" s="37" t="str">
        <f t="shared" si="23"/>
        <v/>
      </c>
    </row>
    <row r="37" spans="1:60" x14ac:dyDescent="0.2">
      <c r="A37" s="25" t="s">
        <v>59</v>
      </c>
      <c r="B37" s="26" t="s">
        <v>29</v>
      </c>
      <c r="C37" s="25" t="s">
        <v>30</v>
      </c>
      <c r="D37" s="25" t="str">
        <f>D36</f>
        <v>Critical</v>
      </c>
      <c r="E37" s="27"/>
      <c r="F37" s="27"/>
      <c r="G37" s="27"/>
      <c r="H37" s="28" t="str">
        <f>IF(OR(F37="",G37=""),"",G37-F37+1)</f>
        <v/>
      </c>
      <c r="I37" s="29" t="str">
        <f>IF(G37="","",G37-G36)</f>
        <v/>
      </c>
      <c r="J37" s="28"/>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row>
    <row r="38" spans="1:60" x14ac:dyDescent="0.2">
      <c r="A38" s="18" t="s">
        <v>61</v>
      </c>
      <c r="B38" s="19" t="s">
        <v>62</v>
      </c>
      <c r="C38" s="20" t="s">
        <v>27</v>
      </c>
      <c r="D38" s="21" t="s">
        <v>33</v>
      </c>
      <c r="E38" s="22">
        <v>5</v>
      </c>
      <c r="F38" s="22">
        <v>19</v>
      </c>
      <c r="G38" s="22">
        <v>20</v>
      </c>
      <c r="H38" s="23">
        <f>G38-F38+1</f>
        <v>2</v>
      </c>
      <c r="I38" s="23"/>
      <c r="J38" s="21" t="s">
        <v>63</v>
      </c>
      <c r="K38" s="24" t="str">
        <f t="shared" ref="K38:AP38" si="24">IF(AND($J38&lt;&gt;"",K$6=$G38),"◆","")</f>
        <v/>
      </c>
      <c r="L38" s="24" t="str">
        <f t="shared" si="24"/>
        <v/>
      </c>
      <c r="M38" s="24" t="str">
        <f t="shared" si="24"/>
        <v/>
      </c>
      <c r="N38" s="24" t="str">
        <f t="shared" si="24"/>
        <v/>
      </c>
      <c r="O38" s="24" t="str">
        <f t="shared" si="24"/>
        <v/>
      </c>
      <c r="P38" s="24" t="str">
        <f t="shared" si="24"/>
        <v/>
      </c>
      <c r="Q38" s="24" t="str">
        <f t="shared" si="24"/>
        <v/>
      </c>
      <c r="R38" s="24" t="str">
        <f t="shared" si="24"/>
        <v/>
      </c>
      <c r="S38" s="24" t="str">
        <f t="shared" si="24"/>
        <v/>
      </c>
      <c r="T38" s="24" t="str">
        <f t="shared" si="24"/>
        <v/>
      </c>
      <c r="U38" s="24" t="str">
        <f t="shared" si="24"/>
        <v/>
      </c>
      <c r="V38" s="24" t="str">
        <f t="shared" si="24"/>
        <v/>
      </c>
      <c r="W38" s="24" t="str">
        <f t="shared" si="24"/>
        <v/>
      </c>
      <c r="X38" s="24" t="str">
        <f t="shared" si="24"/>
        <v/>
      </c>
      <c r="Y38" s="24" t="str">
        <f t="shared" si="24"/>
        <v/>
      </c>
      <c r="Z38" s="24" t="str">
        <f t="shared" si="24"/>
        <v/>
      </c>
      <c r="AA38" s="24" t="str">
        <f t="shared" si="24"/>
        <v/>
      </c>
      <c r="AB38" s="24" t="str">
        <f t="shared" si="24"/>
        <v/>
      </c>
      <c r="AC38" s="24" t="str">
        <f t="shared" si="24"/>
        <v/>
      </c>
      <c r="AD38" s="24" t="str">
        <f t="shared" si="24"/>
        <v>◆</v>
      </c>
      <c r="AE38" s="24" t="str">
        <f t="shared" si="24"/>
        <v/>
      </c>
      <c r="AF38" s="24" t="str">
        <f t="shared" si="24"/>
        <v/>
      </c>
      <c r="AG38" s="24" t="str">
        <f t="shared" si="24"/>
        <v/>
      </c>
      <c r="AH38" s="24" t="str">
        <f t="shared" si="24"/>
        <v/>
      </c>
      <c r="AI38" s="24" t="str">
        <f t="shared" si="24"/>
        <v/>
      </c>
      <c r="AJ38" s="24" t="str">
        <f t="shared" si="24"/>
        <v/>
      </c>
      <c r="AK38" s="24" t="str">
        <f t="shared" si="24"/>
        <v/>
      </c>
      <c r="AL38" s="24" t="str">
        <f t="shared" si="24"/>
        <v/>
      </c>
      <c r="AM38" s="24" t="str">
        <f t="shared" si="24"/>
        <v/>
      </c>
      <c r="AN38" s="24" t="str">
        <f t="shared" si="24"/>
        <v/>
      </c>
      <c r="AO38" s="24" t="str">
        <f t="shared" si="24"/>
        <v/>
      </c>
      <c r="AP38" s="24" t="str">
        <f t="shared" si="24"/>
        <v/>
      </c>
      <c r="AQ38" s="24" t="str">
        <f t="shared" ref="AQ38:BH38" si="25">IF(AND($J38&lt;&gt;"",AQ$6=$G38),"◆","")</f>
        <v/>
      </c>
      <c r="AR38" s="24" t="str">
        <f t="shared" si="25"/>
        <v/>
      </c>
      <c r="AS38" s="24" t="str">
        <f t="shared" si="25"/>
        <v/>
      </c>
      <c r="AT38" s="24" t="str">
        <f t="shared" si="25"/>
        <v/>
      </c>
      <c r="AU38" s="24" t="str">
        <f t="shared" si="25"/>
        <v/>
      </c>
      <c r="AV38" s="24" t="str">
        <f t="shared" si="25"/>
        <v/>
      </c>
      <c r="AW38" s="24" t="str">
        <f t="shared" si="25"/>
        <v/>
      </c>
      <c r="AX38" s="24" t="str">
        <f t="shared" si="25"/>
        <v/>
      </c>
      <c r="AY38" s="24" t="str">
        <f t="shared" si="25"/>
        <v/>
      </c>
      <c r="AZ38" s="24" t="str">
        <f t="shared" si="25"/>
        <v/>
      </c>
      <c r="BA38" s="24" t="str">
        <f t="shared" si="25"/>
        <v/>
      </c>
      <c r="BB38" s="24" t="str">
        <f t="shared" si="25"/>
        <v/>
      </c>
      <c r="BC38" s="24" t="str">
        <f t="shared" si="25"/>
        <v/>
      </c>
      <c r="BD38" s="24" t="str">
        <f t="shared" si="25"/>
        <v/>
      </c>
      <c r="BE38" s="24" t="str">
        <f t="shared" si="25"/>
        <v/>
      </c>
      <c r="BF38" s="24" t="str">
        <f t="shared" si="25"/>
        <v/>
      </c>
      <c r="BG38" s="24" t="str">
        <f t="shared" si="25"/>
        <v/>
      </c>
      <c r="BH38" s="24" t="str">
        <f t="shared" si="25"/>
        <v/>
      </c>
    </row>
    <row r="39" spans="1:60" x14ac:dyDescent="0.2">
      <c r="A39" s="25" t="s">
        <v>61</v>
      </c>
      <c r="B39" s="26" t="s">
        <v>29</v>
      </c>
      <c r="C39" s="25" t="s">
        <v>30</v>
      </c>
      <c r="D39" s="25" t="str">
        <f>D38</f>
        <v>Critical</v>
      </c>
      <c r="E39" s="27"/>
      <c r="F39" s="27"/>
      <c r="G39" s="27"/>
      <c r="H39" s="28" t="str">
        <f>IF(OR(F39="",G39=""),"",G39-F39+1)</f>
        <v/>
      </c>
      <c r="I39" s="29" t="str">
        <f>IF(G39="","",G39-G38)</f>
        <v/>
      </c>
      <c r="J39" s="28"/>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row>
    <row r="40" spans="1:60" x14ac:dyDescent="0.2">
      <c r="A40" s="10" t="s">
        <v>64</v>
      </c>
      <c r="B40" s="11" t="s">
        <v>65</v>
      </c>
      <c r="C40" s="10" t="s">
        <v>27</v>
      </c>
      <c r="D40" s="10" t="s">
        <v>28</v>
      </c>
      <c r="E40" s="10">
        <f>SUMIFS(E42:E49,C42:C49,"Plan")</f>
        <v>30</v>
      </c>
      <c r="F40" s="10">
        <f>_xlfn.MINIFS(F42:F49,C42:C49,"Plan")</f>
        <v>21</v>
      </c>
      <c r="G40" s="10">
        <f>_xlfn.MAXIFS(G42:G49,C42:C49,"Plan")</f>
        <v>30</v>
      </c>
      <c r="H40" s="10">
        <f>G40-F40+1</f>
        <v>10</v>
      </c>
      <c r="I40" s="10"/>
      <c r="J40" s="10"/>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row>
    <row r="41" spans="1:60" x14ac:dyDescent="0.2">
      <c r="A41" s="13" t="s">
        <v>64</v>
      </c>
      <c r="B41" s="14" t="s">
        <v>29</v>
      </c>
      <c r="C41" s="13" t="s">
        <v>30</v>
      </c>
      <c r="D41" s="13" t="s">
        <v>28</v>
      </c>
      <c r="E41" s="15">
        <f>SUMIFS(E42:E49,C42:C49,"Actual")</f>
        <v>0</v>
      </c>
      <c r="F41" s="13" t="str">
        <f>IF(COUNTIFS(C42:C49,"Actual",F42:F49,"&lt;&gt;")=0,"",_xlfn.MINIFS(F42:F49,C42:C49,"Actual"))</f>
        <v/>
      </c>
      <c r="G41" s="13" t="str">
        <f>IF(COUNTIFS(C42:C49,"Actual",G42:G49,"")&gt;0,"",_xlfn.MAXIFS(G42:G49,C42:C49,"Actual"))</f>
        <v/>
      </c>
      <c r="H41" s="13" t="str">
        <f>IF(OR(F41="",G41=""),"",G41-F41+1)</f>
        <v/>
      </c>
      <c r="I41" s="16" t="str">
        <f>IF(G41="","",G41-G40)</f>
        <v/>
      </c>
      <c r="J41" s="13"/>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row>
    <row r="42" spans="1:60" ht="28" x14ac:dyDescent="0.2">
      <c r="A42" s="18" t="s">
        <v>66</v>
      </c>
      <c r="B42" s="19" t="s">
        <v>67</v>
      </c>
      <c r="C42" s="20" t="s">
        <v>27</v>
      </c>
      <c r="D42" s="21" t="s">
        <v>33</v>
      </c>
      <c r="E42" s="22">
        <v>6</v>
      </c>
      <c r="F42" s="22">
        <v>21</v>
      </c>
      <c r="G42" s="22">
        <v>22</v>
      </c>
      <c r="H42" s="23">
        <f>G42-F42+1</f>
        <v>2</v>
      </c>
      <c r="I42" s="23"/>
      <c r="J42" s="21"/>
      <c r="K42" s="24" t="str">
        <f t="shared" ref="K42:AP42" si="26">IF(AND($J42&lt;&gt;"",K$6=$G42),"◆","")</f>
        <v/>
      </c>
      <c r="L42" s="24" t="str">
        <f t="shared" si="26"/>
        <v/>
      </c>
      <c r="M42" s="24" t="str">
        <f t="shared" si="26"/>
        <v/>
      </c>
      <c r="N42" s="24" t="str">
        <f t="shared" si="26"/>
        <v/>
      </c>
      <c r="O42" s="24" t="str">
        <f t="shared" si="26"/>
        <v/>
      </c>
      <c r="P42" s="24" t="str">
        <f t="shared" si="26"/>
        <v/>
      </c>
      <c r="Q42" s="24" t="str">
        <f t="shared" si="26"/>
        <v/>
      </c>
      <c r="R42" s="24" t="str">
        <f t="shared" si="26"/>
        <v/>
      </c>
      <c r="S42" s="24" t="str">
        <f t="shared" si="26"/>
        <v/>
      </c>
      <c r="T42" s="24" t="str">
        <f t="shared" si="26"/>
        <v/>
      </c>
      <c r="U42" s="24" t="str">
        <f t="shared" si="26"/>
        <v/>
      </c>
      <c r="V42" s="24" t="str">
        <f t="shared" si="26"/>
        <v/>
      </c>
      <c r="W42" s="24" t="str">
        <f t="shared" si="26"/>
        <v/>
      </c>
      <c r="X42" s="24" t="str">
        <f t="shared" si="26"/>
        <v/>
      </c>
      <c r="Y42" s="24" t="str">
        <f t="shared" si="26"/>
        <v/>
      </c>
      <c r="Z42" s="24" t="str">
        <f t="shared" si="26"/>
        <v/>
      </c>
      <c r="AA42" s="24" t="str">
        <f t="shared" si="26"/>
        <v/>
      </c>
      <c r="AB42" s="24" t="str">
        <f t="shared" si="26"/>
        <v/>
      </c>
      <c r="AC42" s="24" t="str">
        <f t="shared" si="26"/>
        <v/>
      </c>
      <c r="AD42" s="24" t="str">
        <f t="shared" si="26"/>
        <v/>
      </c>
      <c r="AE42" s="24" t="str">
        <f t="shared" si="26"/>
        <v/>
      </c>
      <c r="AF42" s="24" t="str">
        <f t="shared" si="26"/>
        <v/>
      </c>
      <c r="AG42" s="24" t="str">
        <f t="shared" si="26"/>
        <v/>
      </c>
      <c r="AH42" s="24" t="str">
        <f t="shared" si="26"/>
        <v/>
      </c>
      <c r="AI42" s="24" t="str">
        <f t="shared" si="26"/>
        <v/>
      </c>
      <c r="AJ42" s="24" t="str">
        <f t="shared" si="26"/>
        <v/>
      </c>
      <c r="AK42" s="24" t="str">
        <f t="shared" si="26"/>
        <v/>
      </c>
      <c r="AL42" s="24" t="str">
        <f t="shared" si="26"/>
        <v/>
      </c>
      <c r="AM42" s="24" t="str">
        <f t="shared" si="26"/>
        <v/>
      </c>
      <c r="AN42" s="24" t="str">
        <f t="shared" si="26"/>
        <v/>
      </c>
      <c r="AO42" s="24" t="str">
        <f t="shared" si="26"/>
        <v/>
      </c>
      <c r="AP42" s="24" t="str">
        <f t="shared" si="26"/>
        <v/>
      </c>
      <c r="AQ42" s="24" t="str">
        <f t="shared" ref="AQ42:BH42" si="27">IF(AND($J42&lt;&gt;"",AQ$6=$G42),"◆","")</f>
        <v/>
      </c>
      <c r="AR42" s="24" t="str">
        <f t="shared" si="27"/>
        <v/>
      </c>
      <c r="AS42" s="24" t="str">
        <f t="shared" si="27"/>
        <v/>
      </c>
      <c r="AT42" s="24" t="str">
        <f t="shared" si="27"/>
        <v/>
      </c>
      <c r="AU42" s="24" t="str">
        <f t="shared" si="27"/>
        <v/>
      </c>
      <c r="AV42" s="24" t="str">
        <f t="shared" si="27"/>
        <v/>
      </c>
      <c r="AW42" s="24" t="str">
        <f t="shared" si="27"/>
        <v/>
      </c>
      <c r="AX42" s="24" t="str">
        <f t="shared" si="27"/>
        <v/>
      </c>
      <c r="AY42" s="24" t="str">
        <f t="shared" si="27"/>
        <v/>
      </c>
      <c r="AZ42" s="24" t="str">
        <f t="shared" si="27"/>
        <v/>
      </c>
      <c r="BA42" s="24" t="str">
        <f t="shared" si="27"/>
        <v/>
      </c>
      <c r="BB42" s="24" t="str">
        <f t="shared" si="27"/>
        <v/>
      </c>
      <c r="BC42" s="24" t="str">
        <f t="shared" si="27"/>
        <v/>
      </c>
      <c r="BD42" s="24" t="str">
        <f t="shared" si="27"/>
        <v/>
      </c>
      <c r="BE42" s="24" t="str">
        <f t="shared" si="27"/>
        <v/>
      </c>
      <c r="BF42" s="24" t="str">
        <f t="shared" si="27"/>
        <v/>
      </c>
      <c r="BG42" s="24" t="str">
        <f t="shared" si="27"/>
        <v/>
      </c>
      <c r="BH42" s="24" t="str">
        <f t="shared" si="27"/>
        <v/>
      </c>
    </row>
    <row r="43" spans="1:60" x14ac:dyDescent="0.2">
      <c r="A43" s="25" t="s">
        <v>66</v>
      </c>
      <c r="B43" s="26" t="s">
        <v>29</v>
      </c>
      <c r="C43" s="25" t="s">
        <v>30</v>
      </c>
      <c r="D43" s="25" t="str">
        <f>D42</f>
        <v>Critical</v>
      </c>
      <c r="E43" s="27"/>
      <c r="F43" s="27"/>
      <c r="G43" s="27"/>
      <c r="H43" s="28" t="str">
        <f>IF(OR(F43="",G43=""),"",G43-F43+1)</f>
        <v/>
      </c>
      <c r="I43" s="29" t="str">
        <f>IF(G43="","",G43-G42)</f>
        <v/>
      </c>
      <c r="J43" s="2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row>
    <row r="44" spans="1:60" x14ac:dyDescent="0.2">
      <c r="A44" s="31" t="s">
        <v>68</v>
      </c>
      <c r="B44" s="32" t="s">
        <v>69</v>
      </c>
      <c r="C44" s="33" t="s">
        <v>27</v>
      </c>
      <c r="D44" s="34" t="s">
        <v>33</v>
      </c>
      <c r="E44" s="35">
        <v>8</v>
      </c>
      <c r="F44" s="35">
        <v>23</v>
      </c>
      <c r="G44" s="35">
        <v>25</v>
      </c>
      <c r="H44" s="36">
        <f>G44-F44+1</f>
        <v>3</v>
      </c>
      <c r="I44" s="36"/>
      <c r="J44" s="34"/>
      <c r="K44" s="37" t="str">
        <f t="shared" ref="K44:AP44" si="28">IF(AND($J44&lt;&gt;"",K$6=$G44),"◆","")</f>
        <v/>
      </c>
      <c r="L44" s="37" t="str">
        <f t="shared" si="28"/>
        <v/>
      </c>
      <c r="M44" s="37" t="str">
        <f t="shared" si="28"/>
        <v/>
      </c>
      <c r="N44" s="37" t="str">
        <f t="shared" si="28"/>
        <v/>
      </c>
      <c r="O44" s="37" t="str">
        <f t="shared" si="28"/>
        <v/>
      </c>
      <c r="P44" s="37" t="str">
        <f t="shared" si="28"/>
        <v/>
      </c>
      <c r="Q44" s="37" t="str">
        <f t="shared" si="28"/>
        <v/>
      </c>
      <c r="R44" s="37" t="str">
        <f t="shared" si="28"/>
        <v/>
      </c>
      <c r="S44" s="37" t="str">
        <f t="shared" si="28"/>
        <v/>
      </c>
      <c r="T44" s="37" t="str">
        <f t="shared" si="28"/>
        <v/>
      </c>
      <c r="U44" s="37" t="str">
        <f t="shared" si="28"/>
        <v/>
      </c>
      <c r="V44" s="37" t="str">
        <f t="shared" si="28"/>
        <v/>
      </c>
      <c r="W44" s="37" t="str">
        <f t="shared" si="28"/>
        <v/>
      </c>
      <c r="X44" s="37" t="str">
        <f t="shared" si="28"/>
        <v/>
      </c>
      <c r="Y44" s="37" t="str">
        <f t="shared" si="28"/>
        <v/>
      </c>
      <c r="Z44" s="37" t="str">
        <f t="shared" si="28"/>
        <v/>
      </c>
      <c r="AA44" s="37" t="str">
        <f t="shared" si="28"/>
        <v/>
      </c>
      <c r="AB44" s="37" t="str">
        <f t="shared" si="28"/>
        <v/>
      </c>
      <c r="AC44" s="37" t="str">
        <f t="shared" si="28"/>
        <v/>
      </c>
      <c r="AD44" s="37" t="str">
        <f t="shared" si="28"/>
        <v/>
      </c>
      <c r="AE44" s="37" t="str">
        <f t="shared" si="28"/>
        <v/>
      </c>
      <c r="AF44" s="37" t="str">
        <f t="shared" si="28"/>
        <v/>
      </c>
      <c r="AG44" s="37" t="str">
        <f t="shared" si="28"/>
        <v/>
      </c>
      <c r="AH44" s="37" t="str">
        <f t="shared" si="28"/>
        <v/>
      </c>
      <c r="AI44" s="37" t="str">
        <f t="shared" si="28"/>
        <v/>
      </c>
      <c r="AJ44" s="37" t="str">
        <f t="shared" si="28"/>
        <v/>
      </c>
      <c r="AK44" s="37" t="str">
        <f t="shared" si="28"/>
        <v/>
      </c>
      <c r="AL44" s="37" t="str">
        <f t="shared" si="28"/>
        <v/>
      </c>
      <c r="AM44" s="37" t="str">
        <f t="shared" si="28"/>
        <v/>
      </c>
      <c r="AN44" s="37" t="str">
        <f t="shared" si="28"/>
        <v/>
      </c>
      <c r="AO44" s="37" t="str">
        <f t="shared" si="28"/>
        <v/>
      </c>
      <c r="AP44" s="37" t="str">
        <f t="shared" si="28"/>
        <v/>
      </c>
      <c r="AQ44" s="37" t="str">
        <f t="shared" ref="AQ44:BH44" si="29">IF(AND($J44&lt;&gt;"",AQ$6=$G44),"◆","")</f>
        <v/>
      </c>
      <c r="AR44" s="37" t="str">
        <f t="shared" si="29"/>
        <v/>
      </c>
      <c r="AS44" s="37" t="str">
        <f t="shared" si="29"/>
        <v/>
      </c>
      <c r="AT44" s="37" t="str">
        <f t="shared" si="29"/>
        <v/>
      </c>
      <c r="AU44" s="37" t="str">
        <f t="shared" si="29"/>
        <v/>
      </c>
      <c r="AV44" s="37" t="str">
        <f t="shared" si="29"/>
        <v/>
      </c>
      <c r="AW44" s="37" t="str">
        <f t="shared" si="29"/>
        <v/>
      </c>
      <c r="AX44" s="37" t="str">
        <f t="shared" si="29"/>
        <v/>
      </c>
      <c r="AY44" s="37" t="str">
        <f t="shared" si="29"/>
        <v/>
      </c>
      <c r="AZ44" s="37" t="str">
        <f t="shared" si="29"/>
        <v/>
      </c>
      <c r="BA44" s="37" t="str">
        <f t="shared" si="29"/>
        <v/>
      </c>
      <c r="BB44" s="37" t="str">
        <f t="shared" si="29"/>
        <v/>
      </c>
      <c r="BC44" s="37" t="str">
        <f t="shared" si="29"/>
        <v/>
      </c>
      <c r="BD44" s="37" t="str">
        <f t="shared" si="29"/>
        <v/>
      </c>
      <c r="BE44" s="37" t="str">
        <f t="shared" si="29"/>
        <v/>
      </c>
      <c r="BF44" s="37" t="str">
        <f t="shared" si="29"/>
        <v/>
      </c>
      <c r="BG44" s="37" t="str">
        <f t="shared" si="29"/>
        <v/>
      </c>
      <c r="BH44" s="37" t="str">
        <f t="shared" si="29"/>
        <v/>
      </c>
    </row>
    <row r="45" spans="1:60" x14ac:dyDescent="0.2">
      <c r="A45" s="25" t="s">
        <v>68</v>
      </c>
      <c r="B45" s="26" t="s">
        <v>29</v>
      </c>
      <c r="C45" s="25" t="s">
        <v>30</v>
      </c>
      <c r="D45" s="25" t="str">
        <f>D44</f>
        <v>Critical</v>
      </c>
      <c r="E45" s="27"/>
      <c r="F45" s="27"/>
      <c r="G45" s="27"/>
      <c r="H45" s="28" t="str">
        <f>IF(OR(F45="",G45=""),"",G45-F45+1)</f>
        <v/>
      </c>
      <c r="I45" s="29" t="str">
        <f>IF(G45="","",G45-G44)</f>
        <v/>
      </c>
      <c r="J45" s="2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row>
    <row r="46" spans="1:60" x14ac:dyDescent="0.2">
      <c r="A46" s="18" t="s">
        <v>70</v>
      </c>
      <c r="B46" s="19" t="s">
        <v>71</v>
      </c>
      <c r="C46" s="20" t="s">
        <v>27</v>
      </c>
      <c r="D46" s="21" t="s">
        <v>33</v>
      </c>
      <c r="E46" s="22">
        <v>12</v>
      </c>
      <c r="F46" s="22">
        <v>26</v>
      </c>
      <c r="G46" s="22">
        <v>29</v>
      </c>
      <c r="H46" s="23">
        <f>G46-F46+1</f>
        <v>4</v>
      </c>
      <c r="I46" s="23"/>
      <c r="J46" s="21"/>
      <c r="K46" s="24" t="str">
        <f t="shared" ref="K46:AP46" si="30">IF(AND($J46&lt;&gt;"",K$6=$G46),"◆","")</f>
        <v/>
      </c>
      <c r="L46" s="24" t="str">
        <f t="shared" si="30"/>
        <v/>
      </c>
      <c r="M46" s="24" t="str">
        <f t="shared" si="30"/>
        <v/>
      </c>
      <c r="N46" s="24" t="str">
        <f t="shared" si="30"/>
        <v/>
      </c>
      <c r="O46" s="24" t="str">
        <f t="shared" si="30"/>
        <v/>
      </c>
      <c r="P46" s="24" t="str">
        <f t="shared" si="30"/>
        <v/>
      </c>
      <c r="Q46" s="24" t="str">
        <f t="shared" si="30"/>
        <v/>
      </c>
      <c r="R46" s="24" t="str">
        <f t="shared" si="30"/>
        <v/>
      </c>
      <c r="S46" s="24" t="str">
        <f t="shared" si="30"/>
        <v/>
      </c>
      <c r="T46" s="24" t="str">
        <f t="shared" si="30"/>
        <v/>
      </c>
      <c r="U46" s="24" t="str">
        <f t="shared" si="30"/>
        <v/>
      </c>
      <c r="V46" s="24" t="str">
        <f t="shared" si="30"/>
        <v/>
      </c>
      <c r="W46" s="24" t="str">
        <f t="shared" si="30"/>
        <v/>
      </c>
      <c r="X46" s="24" t="str">
        <f t="shared" si="30"/>
        <v/>
      </c>
      <c r="Y46" s="24" t="str">
        <f t="shared" si="30"/>
        <v/>
      </c>
      <c r="Z46" s="24" t="str">
        <f t="shared" si="30"/>
        <v/>
      </c>
      <c r="AA46" s="24" t="str">
        <f t="shared" si="30"/>
        <v/>
      </c>
      <c r="AB46" s="24" t="str">
        <f t="shared" si="30"/>
        <v/>
      </c>
      <c r="AC46" s="24" t="str">
        <f t="shared" si="30"/>
        <v/>
      </c>
      <c r="AD46" s="24" t="str">
        <f t="shared" si="30"/>
        <v/>
      </c>
      <c r="AE46" s="24" t="str">
        <f t="shared" si="30"/>
        <v/>
      </c>
      <c r="AF46" s="24" t="str">
        <f t="shared" si="30"/>
        <v/>
      </c>
      <c r="AG46" s="24" t="str">
        <f t="shared" si="30"/>
        <v/>
      </c>
      <c r="AH46" s="24" t="str">
        <f t="shared" si="30"/>
        <v/>
      </c>
      <c r="AI46" s="24" t="str">
        <f t="shared" si="30"/>
        <v/>
      </c>
      <c r="AJ46" s="24" t="str">
        <f t="shared" si="30"/>
        <v/>
      </c>
      <c r="AK46" s="24" t="str">
        <f t="shared" si="30"/>
        <v/>
      </c>
      <c r="AL46" s="24" t="str">
        <f t="shared" si="30"/>
        <v/>
      </c>
      <c r="AM46" s="24" t="str">
        <f t="shared" si="30"/>
        <v/>
      </c>
      <c r="AN46" s="24" t="str">
        <f t="shared" si="30"/>
        <v/>
      </c>
      <c r="AO46" s="24" t="str">
        <f t="shared" si="30"/>
        <v/>
      </c>
      <c r="AP46" s="24" t="str">
        <f t="shared" si="30"/>
        <v/>
      </c>
      <c r="AQ46" s="24" t="str">
        <f t="shared" ref="AQ46:BH46" si="31">IF(AND($J46&lt;&gt;"",AQ$6=$G46),"◆","")</f>
        <v/>
      </c>
      <c r="AR46" s="24" t="str">
        <f t="shared" si="31"/>
        <v/>
      </c>
      <c r="AS46" s="24" t="str">
        <f t="shared" si="31"/>
        <v/>
      </c>
      <c r="AT46" s="24" t="str">
        <f t="shared" si="31"/>
        <v/>
      </c>
      <c r="AU46" s="24" t="str">
        <f t="shared" si="31"/>
        <v/>
      </c>
      <c r="AV46" s="24" t="str">
        <f t="shared" si="31"/>
        <v/>
      </c>
      <c r="AW46" s="24" t="str">
        <f t="shared" si="31"/>
        <v/>
      </c>
      <c r="AX46" s="24" t="str">
        <f t="shared" si="31"/>
        <v/>
      </c>
      <c r="AY46" s="24" t="str">
        <f t="shared" si="31"/>
        <v/>
      </c>
      <c r="AZ46" s="24" t="str">
        <f t="shared" si="31"/>
        <v/>
      </c>
      <c r="BA46" s="24" t="str">
        <f t="shared" si="31"/>
        <v/>
      </c>
      <c r="BB46" s="24" t="str">
        <f t="shared" si="31"/>
        <v/>
      </c>
      <c r="BC46" s="24" t="str">
        <f t="shared" si="31"/>
        <v/>
      </c>
      <c r="BD46" s="24" t="str">
        <f t="shared" si="31"/>
        <v/>
      </c>
      <c r="BE46" s="24" t="str">
        <f t="shared" si="31"/>
        <v/>
      </c>
      <c r="BF46" s="24" t="str">
        <f t="shared" si="31"/>
        <v/>
      </c>
      <c r="BG46" s="24" t="str">
        <f t="shared" si="31"/>
        <v/>
      </c>
      <c r="BH46" s="24" t="str">
        <f t="shared" si="31"/>
        <v/>
      </c>
    </row>
    <row r="47" spans="1:60" x14ac:dyDescent="0.2">
      <c r="A47" s="25" t="s">
        <v>70</v>
      </c>
      <c r="B47" s="26" t="s">
        <v>29</v>
      </c>
      <c r="C47" s="25" t="s">
        <v>30</v>
      </c>
      <c r="D47" s="25" t="str">
        <f>D46</f>
        <v>Critical</v>
      </c>
      <c r="E47" s="27"/>
      <c r="F47" s="27"/>
      <c r="G47" s="27"/>
      <c r="H47" s="28" t="str">
        <f>IF(OR(F47="",G47=""),"",G47-F47+1)</f>
        <v/>
      </c>
      <c r="I47" s="29" t="str">
        <f>IF(G47="","",G47-G46)</f>
        <v/>
      </c>
      <c r="J47" s="28"/>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row>
    <row r="48" spans="1:60" x14ac:dyDescent="0.2">
      <c r="A48" s="31" t="s">
        <v>72</v>
      </c>
      <c r="B48" s="32" t="s">
        <v>73</v>
      </c>
      <c r="C48" s="33" t="s">
        <v>27</v>
      </c>
      <c r="D48" s="34" t="s">
        <v>33</v>
      </c>
      <c r="E48" s="35">
        <v>4</v>
      </c>
      <c r="F48" s="35">
        <v>30</v>
      </c>
      <c r="G48" s="35">
        <v>30</v>
      </c>
      <c r="H48" s="36">
        <f>G48-F48+1</f>
        <v>1</v>
      </c>
      <c r="I48" s="36"/>
      <c r="J48" s="34" t="s">
        <v>74</v>
      </c>
      <c r="K48" s="37" t="str">
        <f t="shared" ref="K48:AP48" si="32">IF(AND($J48&lt;&gt;"",K$6=$G48),"◆","")</f>
        <v/>
      </c>
      <c r="L48" s="37" t="str">
        <f t="shared" si="32"/>
        <v/>
      </c>
      <c r="M48" s="37" t="str">
        <f t="shared" si="32"/>
        <v/>
      </c>
      <c r="N48" s="37" t="str">
        <f t="shared" si="32"/>
        <v/>
      </c>
      <c r="O48" s="37" t="str">
        <f t="shared" si="32"/>
        <v/>
      </c>
      <c r="P48" s="37" t="str">
        <f t="shared" si="32"/>
        <v/>
      </c>
      <c r="Q48" s="37" t="str">
        <f t="shared" si="32"/>
        <v/>
      </c>
      <c r="R48" s="37" t="str">
        <f t="shared" si="32"/>
        <v/>
      </c>
      <c r="S48" s="37" t="str">
        <f t="shared" si="32"/>
        <v/>
      </c>
      <c r="T48" s="37" t="str">
        <f t="shared" si="32"/>
        <v/>
      </c>
      <c r="U48" s="37" t="str">
        <f t="shared" si="32"/>
        <v/>
      </c>
      <c r="V48" s="37" t="str">
        <f t="shared" si="32"/>
        <v/>
      </c>
      <c r="W48" s="37" t="str">
        <f t="shared" si="32"/>
        <v/>
      </c>
      <c r="X48" s="37" t="str">
        <f t="shared" si="32"/>
        <v/>
      </c>
      <c r="Y48" s="37" t="str">
        <f t="shared" si="32"/>
        <v/>
      </c>
      <c r="Z48" s="37" t="str">
        <f t="shared" si="32"/>
        <v/>
      </c>
      <c r="AA48" s="37" t="str">
        <f t="shared" si="32"/>
        <v/>
      </c>
      <c r="AB48" s="37" t="str">
        <f t="shared" si="32"/>
        <v/>
      </c>
      <c r="AC48" s="37" t="str">
        <f t="shared" si="32"/>
        <v/>
      </c>
      <c r="AD48" s="37" t="str">
        <f t="shared" si="32"/>
        <v/>
      </c>
      <c r="AE48" s="37" t="str">
        <f t="shared" si="32"/>
        <v/>
      </c>
      <c r="AF48" s="37" t="str">
        <f t="shared" si="32"/>
        <v/>
      </c>
      <c r="AG48" s="37" t="str">
        <f t="shared" si="32"/>
        <v/>
      </c>
      <c r="AH48" s="37" t="str">
        <f t="shared" si="32"/>
        <v/>
      </c>
      <c r="AI48" s="37" t="str">
        <f t="shared" si="32"/>
        <v/>
      </c>
      <c r="AJ48" s="37" t="str">
        <f t="shared" si="32"/>
        <v/>
      </c>
      <c r="AK48" s="37" t="str">
        <f t="shared" si="32"/>
        <v/>
      </c>
      <c r="AL48" s="37" t="str">
        <f t="shared" si="32"/>
        <v/>
      </c>
      <c r="AM48" s="37" t="str">
        <f t="shared" si="32"/>
        <v/>
      </c>
      <c r="AN48" s="37" t="str">
        <f t="shared" si="32"/>
        <v>◆</v>
      </c>
      <c r="AO48" s="37" t="str">
        <f t="shared" si="32"/>
        <v/>
      </c>
      <c r="AP48" s="37" t="str">
        <f t="shared" si="32"/>
        <v/>
      </c>
      <c r="AQ48" s="37" t="str">
        <f t="shared" ref="AQ48:BH48" si="33">IF(AND($J48&lt;&gt;"",AQ$6=$G48),"◆","")</f>
        <v/>
      </c>
      <c r="AR48" s="37" t="str">
        <f t="shared" si="33"/>
        <v/>
      </c>
      <c r="AS48" s="37" t="str">
        <f t="shared" si="33"/>
        <v/>
      </c>
      <c r="AT48" s="37" t="str">
        <f t="shared" si="33"/>
        <v/>
      </c>
      <c r="AU48" s="37" t="str">
        <f t="shared" si="33"/>
        <v/>
      </c>
      <c r="AV48" s="37" t="str">
        <f t="shared" si="33"/>
        <v/>
      </c>
      <c r="AW48" s="37" t="str">
        <f t="shared" si="33"/>
        <v/>
      </c>
      <c r="AX48" s="37" t="str">
        <f t="shared" si="33"/>
        <v/>
      </c>
      <c r="AY48" s="37" t="str">
        <f t="shared" si="33"/>
        <v/>
      </c>
      <c r="AZ48" s="37" t="str">
        <f t="shared" si="33"/>
        <v/>
      </c>
      <c r="BA48" s="37" t="str">
        <f t="shared" si="33"/>
        <v/>
      </c>
      <c r="BB48" s="37" t="str">
        <f t="shared" si="33"/>
        <v/>
      </c>
      <c r="BC48" s="37" t="str">
        <f t="shared" si="33"/>
        <v/>
      </c>
      <c r="BD48" s="37" t="str">
        <f t="shared" si="33"/>
        <v/>
      </c>
      <c r="BE48" s="37" t="str">
        <f t="shared" si="33"/>
        <v/>
      </c>
      <c r="BF48" s="37" t="str">
        <f t="shared" si="33"/>
        <v/>
      </c>
      <c r="BG48" s="37" t="str">
        <f t="shared" si="33"/>
        <v/>
      </c>
      <c r="BH48" s="37" t="str">
        <f t="shared" si="33"/>
        <v/>
      </c>
    </row>
    <row r="49" spans="1:60" x14ac:dyDescent="0.2">
      <c r="A49" s="25" t="s">
        <v>72</v>
      </c>
      <c r="B49" s="26" t="s">
        <v>29</v>
      </c>
      <c r="C49" s="25" t="s">
        <v>30</v>
      </c>
      <c r="D49" s="25" t="str">
        <f>D48</f>
        <v>Critical</v>
      </c>
      <c r="E49" s="27"/>
      <c r="F49" s="27"/>
      <c r="G49" s="27"/>
      <c r="H49" s="28" t="str">
        <f>IF(OR(F49="",G49=""),"",G49-F49+1)</f>
        <v/>
      </c>
      <c r="I49" s="29" t="str">
        <f>IF(G49="","",G49-G48)</f>
        <v/>
      </c>
      <c r="J49" s="2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row>
    <row r="50" spans="1:60" x14ac:dyDescent="0.2">
      <c r="A50" s="10" t="s">
        <v>75</v>
      </c>
      <c r="B50" s="11" t="s">
        <v>76</v>
      </c>
      <c r="C50" s="10" t="s">
        <v>27</v>
      </c>
      <c r="D50" s="10" t="s">
        <v>28</v>
      </c>
      <c r="E50" s="10">
        <f>SUMIFS(E52:E55,C52:C55,"Plan")</f>
        <v>15</v>
      </c>
      <c r="F50" s="10">
        <f>_xlfn.MINIFS(F52:F55,C52:C55,"Plan")</f>
        <v>31</v>
      </c>
      <c r="G50" s="10">
        <f>_xlfn.MAXIFS(G52:G55,C52:C55,"Plan")</f>
        <v>35</v>
      </c>
      <c r="H50" s="10">
        <f>G50-F50+1</f>
        <v>5</v>
      </c>
      <c r="I50" s="10"/>
      <c r="J50" s="10"/>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row>
    <row r="51" spans="1:60" x14ac:dyDescent="0.2">
      <c r="A51" s="13" t="s">
        <v>75</v>
      </c>
      <c r="B51" s="14" t="s">
        <v>29</v>
      </c>
      <c r="C51" s="13" t="s">
        <v>30</v>
      </c>
      <c r="D51" s="13" t="s">
        <v>28</v>
      </c>
      <c r="E51" s="15">
        <f>SUMIFS(E52:E55,C52:C55,"Actual")</f>
        <v>0</v>
      </c>
      <c r="F51" s="13" t="str">
        <f>IF(COUNTIFS(C52:C55,"Actual",F52:F55,"&lt;&gt;")=0,"",_xlfn.MINIFS(F52:F55,C52:C55,"Actual"))</f>
        <v/>
      </c>
      <c r="G51" s="13" t="str">
        <f>IF(COUNTIFS(C52:C55,"Actual",G52:G55,"")&gt;0,"",_xlfn.MAXIFS(G52:G55,C52:C55,"Actual"))</f>
        <v/>
      </c>
      <c r="H51" s="13" t="str">
        <f>IF(OR(F51="",G51=""),"",G51-F51+1)</f>
        <v/>
      </c>
      <c r="I51" s="16" t="str">
        <f>IF(G51="","",G51-G50)</f>
        <v/>
      </c>
      <c r="J51" s="13"/>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row>
    <row r="52" spans="1:60" x14ac:dyDescent="0.2">
      <c r="A52" s="18" t="s">
        <v>77</v>
      </c>
      <c r="B52" s="19" t="s">
        <v>78</v>
      </c>
      <c r="C52" s="20" t="s">
        <v>27</v>
      </c>
      <c r="D52" s="21" t="s">
        <v>33</v>
      </c>
      <c r="E52" s="22">
        <v>6</v>
      </c>
      <c r="F52" s="22">
        <v>31</v>
      </c>
      <c r="G52" s="22">
        <v>32</v>
      </c>
      <c r="H52" s="23">
        <f>G52-F52+1</f>
        <v>2</v>
      </c>
      <c r="I52" s="23"/>
      <c r="J52" s="21"/>
      <c r="K52" s="24" t="str">
        <f t="shared" ref="K52:AP52" si="34">IF(AND($J52&lt;&gt;"",K$6=$G52),"◆","")</f>
        <v/>
      </c>
      <c r="L52" s="24" t="str">
        <f t="shared" si="34"/>
        <v/>
      </c>
      <c r="M52" s="24" t="str">
        <f t="shared" si="34"/>
        <v/>
      </c>
      <c r="N52" s="24" t="str">
        <f t="shared" si="34"/>
        <v/>
      </c>
      <c r="O52" s="24" t="str">
        <f t="shared" si="34"/>
        <v/>
      </c>
      <c r="P52" s="24" t="str">
        <f t="shared" si="34"/>
        <v/>
      </c>
      <c r="Q52" s="24" t="str">
        <f t="shared" si="34"/>
        <v/>
      </c>
      <c r="R52" s="24" t="str">
        <f t="shared" si="34"/>
        <v/>
      </c>
      <c r="S52" s="24" t="str">
        <f t="shared" si="34"/>
        <v/>
      </c>
      <c r="T52" s="24" t="str">
        <f t="shared" si="34"/>
        <v/>
      </c>
      <c r="U52" s="24" t="str">
        <f t="shared" si="34"/>
        <v/>
      </c>
      <c r="V52" s="24" t="str">
        <f t="shared" si="34"/>
        <v/>
      </c>
      <c r="W52" s="24" t="str">
        <f t="shared" si="34"/>
        <v/>
      </c>
      <c r="X52" s="24" t="str">
        <f t="shared" si="34"/>
        <v/>
      </c>
      <c r="Y52" s="24" t="str">
        <f t="shared" si="34"/>
        <v/>
      </c>
      <c r="Z52" s="24" t="str">
        <f t="shared" si="34"/>
        <v/>
      </c>
      <c r="AA52" s="24" t="str">
        <f t="shared" si="34"/>
        <v/>
      </c>
      <c r="AB52" s="24" t="str">
        <f t="shared" si="34"/>
        <v/>
      </c>
      <c r="AC52" s="24" t="str">
        <f t="shared" si="34"/>
        <v/>
      </c>
      <c r="AD52" s="24" t="str">
        <f t="shared" si="34"/>
        <v/>
      </c>
      <c r="AE52" s="24" t="str">
        <f t="shared" si="34"/>
        <v/>
      </c>
      <c r="AF52" s="24" t="str">
        <f t="shared" si="34"/>
        <v/>
      </c>
      <c r="AG52" s="24" t="str">
        <f t="shared" si="34"/>
        <v/>
      </c>
      <c r="AH52" s="24" t="str">
        <f t="shared" si="34"/>
        <v/>
      </c>
      <c r="AI52" s="24" t="str">
        <f t="shared" si="34"/>
        <v/>
      </c>
      <c r="AJ52" s="24" t="str">
        <f t="shared" si="34"/>
        <v/>
      </c>
      <c r="AK52" s="24" t="str">
        <f t="shared" si="34"/>
        <v/>
      </c>
      <c r="AL52" s="24" t="str">
        <f t="shared" si="34"/>
        <v/>
      </c>
      <c r="AM52" s="24" t="str">
        <f t="shared" si="34"/>
        <v/>
      </c>
      <c r="AN52" s="24" t="str">
        <f t="shared" si="34"/>
        <v/>
      </c>
      <c r="AO52" s="24" t="str">
        <f t="shared" si="34"/>
        <v/>
      </c>
      <c r="AP52" s="24" t="str">
        <f t="shared" si="34"/>
        <v/>
      </c>
      <c r="AQ52" s="24" t="str">
        <f t="shared" ref="AQ52:BH52" si="35">IF(AND($J52&lt;&gt;"",AQ$6=$G52),"◆","")</f>
        <v/>
      </c>
      <c r="AR52" s="24" t="str">
        <f t="shared" si="35"/>
        <v/>
      </c>
      <c r="AS52" s="24" t="str">
        <f t="shared" si="35"/>
        <v/>
      </c>
      <c r="AT52" s="24" t="str">
        <f t="shared" si="35"/>
        <v/>
      </c>
      <c r="AU52" s="24" t="str">
        <f t="shared" si="35"/>
        <v/>
      </c>
      <c r="AV52" s="24" t="str">
        <f t="shared" si="35"/>
        <v/>
      </c>
      <c r="AW52" s="24" t="str">
        <f t="shared" si="35"/>
        <v/>
      </c>
      <c r="AX52" s="24" t="str">
        <f t="shared" si="35"/>
        <v/>
      </c>
      <c r="AY52" s="24" t="str">
        <f t="shared" si="35"/>
        <v/>
      </c>
      <c r="AZ52" s="24" t="str">
        <f t="shared" si="35"/>
        <v/>
      </c>
      <c r="BA52" s="24" t="str">
        <f t="shared" si="35"/>
        <v/>
      </c>
      <c r="BB52" s="24" t="str">
        <f t="shared" si="35"/>
        <v/>
      </c>
      <c r="BC52" s="24" t="str">
        <f t="shared" si="35"/>
        <v/>
      </c>
      <c r="BD52" s="24" t="str">
        <f t="shared" si="35"/>
        <v/>
      </c>
      <c r="BE52" s="24" t="str">
        <f t="shared" si="35"/>
        <v/>
      </c>
      <c r="BF52" s="24" t="str">
        <f t="shared" si="35"/>
        <v/>
      </c>
      <c r="BG52" s="24" t="str">
        <f t="shared" si="35"/>
        <v/>
      </c>
      <c r="BH52" s="24" t="str">
        <f t="shared" si="35"/>
        <v/>
      </c>
    </row>
    <row r="53" spans="1:60" x14ac:dyDescent="0.2">
      <c r="A53" s="25" t="s">
        <v>77</v>
      </c>
      <c r="B53" s="26" t="s">
        <v>29</v>
      </c>
      <c r="C53" s="25" t="s">
        <v>30</v>
      </c>
      <c r="D53" s="25" t="str">
        <f>D52</f>
        <v>Critical</v>
      </c>
      <c r="E53" s="27"/>
      <c r="F53" s="27"/>
      <c r="G53" s="27"/>
      <c r="H53" s="28" t="str">
        <f>IF(OR(F53="",G53=""),"",G53-F53+1)</f>
        <v/>
      </c>
      <c r="I53" s="29" t="str">
        <f>IF(G53="","",G53-G52)</f>
        <v/>
      </c>
      <c r="J53" s="28"/>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row>
    <row r="54" spans="1:60" x14ac:dyDescent="0.2">
      <c r="A54" s="31" t="s">
        <v>79</v>
      </c>
      <c r="B54" s="32" t="s">
        <v>80</v>
      </c>
      <c r="C54" s="33" t="s">
        <v>27</v>
      </c>
      <c r="D54" s="34" t="s">
        <v>33</v>
      </c>
      <c r="E54" s="35">
        <v>9</v>
      </c>
      <c r="F54" s="35">
        <v>33</v>
      </c>
      <c r="G54" s="35">
        <v>35</v>
      </c>
      <c r="H54" s="36">
        <f>G54-F54+1</f>
        <v>3</v>
      </c>
      <c r="I54" s="36"/>
      <c r="J54" s="34" t="s">
        <v>81</v>
      </c>
      <c r="K54" s="37" t="str">
        <f t="shared" ref="K54:AP54" si="36">IF(AND($J54&lt;&gt;"",K$6=$G54),"◆","")</f>
        <v/>
      </c>
      <c r="L54" s="37" t="str">
        <f t="shared" si="36"/>
        <v/>
      </c>
      <c r="M54" s="37" t="str">
        <f t="shared" si="36"/>
        <v/>
      </c>
      <c r="N54" s="37" t="str">
        <f t="shared" si="36"/>
        <v/>
      </c>
      <c r="O54" s="37" t="str">
        <f t="shared" si="36"/>
        <v/>
      </c>
      <c r="P54" s="37" t="str">
        <f t="shared" si="36"/>
        <v/>
      </c>
      <c r="Q54" s="37" t="str">
        <f t="shared" si="36"/>
        <v/>
      </c>
      <c r="R54" s="37" t="str">
        <f t="shared" si="36"/>
        <v/>
      </c>
      <c r="S54" s="37" t="str">
        <f t="shared" si="36"/>
        <v/>
      </c>
      <c r="T54" s="37" t="str">
        <f t="shared" si="36"/>
        <v/>
      </c>
      <c r="U54" s="37" t="str">
        <f t="shared" si="36"/>
        <v/>
      </c>
      <c r="V54" s="37" t="str">
        <f t="shared" si="36"/>
        <v/>
      </c>
      <c r="W54" s="37" t="str">
        <f t="shared" si="36"/>
        <v/>
      </c>
      <c r="X54" s="37" t="str">
        <f t="shared" si="36"/>
        <v/>
      </c>
      <c r="Y54" s="37" t="str">
        <f t="shared" si="36"/>
        <v/>
      </c>
      <c r="Z54" s="37" t="str">
        <f t="shared" si="36"/>
        <v/>
      </c>
      <c r="AA54" s="37" t="str">
        <f t="shared" si="36"/>
        <v/>
      </c>
      <c r="AB54" s="37" t="str">
        <f t="shared" si="36"/>
        <v/>
      </c>
      <c r="AC54" s="37" t="str">
        <f t="shared" si="36"/>
        <v/>
      </c>
      <c r="AD54" s="37" t="str">
        <f t="shared" si="36"/>
        <v/>
      </c>
      <c r="AE54" s="37" t="str">
        <f t="shared" si="36"/>
        <v/>
      </c>
      <c r="AF54" s="37" t="str">
        <f t="shared" si="36"/>
        <v/>
      </c>
      <c r="AG54" s="37" t="str">
        <f t="shared" si="36"/>
        <v/>
      </c>
      <c r="AH54" s="37" t="str">
        <f t="shared" si="36"/>
        <v/>
      </c>
      <c r="AI54" s="37" t="str">
        <f t="shared" si="36"/>
        <v/>
      </c>
      <c r="AJ54" s="37" t="str">
        <f t="shared" si="36"/>
        <v/>
      </c>
      <c r="AK54" s="37" t="str">
        <f t="shared" si="36"/>
        <v/>
      </c>
      <c r="AL54" s="37" t="str">
        <f t="shared" si="36"/>
        <v/>
      </c>
      <c r="AM54" s="37" t="str">
        <f t="shared" si="36"/>
        <v/>
      </c>
      <c r="AN54" s="37" t="str">
        <f t="shared" si="36"/>
        <v/>
      </c>
      <c r="AO54" s="37" t="str">
        <f t="shared" si="36"/>
        <v/>
      </c>
      <c r="AP54" s="37" t="str">
        <f t="shared" si="36"/>
        <v/>
      </c>
      <c r="AQ54" s="37" t="str">
        <f t="shared" ref="AQ54:BH54" si="37">IF(AND($J54&lt;&gt;"",AQ$6=$G54),"◆","")</f>
        <v/>
      </c>
      <c r="AR54" s="37" t="str">
        <f t="shared" si="37"/>
        <v/>
      </c>
      <c r="AS54" s="37" t="str">
        <f t="shared" si="37"/>
        <v>◆</v>
      </c>
      <c r="AT54" s="37" t="str">
        <f t="shared" si="37"/>
        <v/>
      </c>
      <c r="AU54" s="37" t="str">
        <f t="shared" si="37"/>
        <v/>
      </c>
      <c r="AV54" s="37" t="str">
        <f t="shared" si="37"/>
        <v/>
      </c>
      <c r="AW54" s="37" t="str">
        <f t="shared" si="37"/>
        <v/>
      </c>
      <c r="AX54" s="37" t="str">
        <f t="shared" si="37"/>
        <v/>
      </c>
      <c r="AY54" s="37" t="str">
        <f t="shared" si="37"/>
        <v/>
      </c>
      <c r="AZ54" s="37" t="str">
        <f t="shared" si="37"/>
        <v/>
      </c>
      <c r="BA54" s="37" t="str">
        <f t="shared" si="37"/>
        <v/>
      </c>
      <c r="BB54" s="37" t="str">
        <f t="shared" si="37"/>
        <v/>
      </c>
      <c r="BC54" s="37" t="str">
        <f t="shared" si="37"/>
        <v/>
      </c>
      <c r="BD54" s="37" t="str">
        <f t="shared" si="37"/>
        <v/>
      </c>
      <c r="BE54" s="37" t="str">
        <f t="shared" si="37"/>
        <v/>
      </c>
      <c r="BF54" s="37" t="str">
        <f t="shared" si="37"/>
        <v/>
      </c>
      <c r="BG54" s="37" t="str">
        <f t="shared" si="37"/>
        <v/>
      </c>
      <c r="BH54" s="37" t="str">
        <f t="shared" si="37"/>
        <v/>
      </c>
    </row>
    <row r="55" spans="1:60" x14ac:dyDescent="0.2">
      <c r="A55" s="25" t="s">
        <v>79</v>
      </c>
      <c r="B55" s="26" t="s">
        <v>29</v>
      </c>
      <c r="C55" s="25" t="s">
        <v>30</v>
      </c>
      <c r="D55" s="25" t="str">
        <f>D54</f>
        <v>Critical</v>
      </c>
      <c r="E55" s="27"/>
      <c r="F55" s="27"/>
      <c r="G55" s="27"/>
      <c r="H55" s="28" t="str">
        <f>IF(OR(F55="",G55=""),"",G55-F55+1)</f>
        <v/>
      </c>
      <c r="I55" s="29" t="str">
        <f>IF(G55="","",G55-G54)</f>
        <v/>
      </c>
      <c r="J55" s="2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row>
    <row r="56" spans="1:60" x14ac:dyDescent="0.2">
      <c r="A56" s="8"/>
      <c r="B56" s="9" t="s">
        <v>82</v>
      </c>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row>
    <row r="57" spans="1:60" x14ac:dyDescent="0.2">
      <c r="A57" s="10" t="s">
        <v>83</v>
      </c>
      <c r="B57" s="11" t="s">
        <v>84</v>
      </c>
      <c r="C57" s="10" t="s">
        <v>27</v>
      </c>
      <c r="D57" s="10" t="s">
        <v>28</v>
      </c>
      <c r="E57" s="10">
        <f>SUMIFS(E59:E62,C59:C62,"Plan")</f>
        <v>12</v>
      </c>
      <c r="F57" s="10">
        <f>_xlfn.MINIFS(F59:F62,C59:C62,"Plan")</f>
        <v>3</v>
      </c>
      <c r="G57" s="10">
        <f>_xlfn.MAXIFS(G59:G62,C59:C62,"Plan")</f>
        <v>8</v>
      </c>
      <c r="H57" s="10">
        <f>G57-F57+1</f>
        <v>6</v>
      </c>
      <c r="I57" s="10"/>
      <c r="J57" s="10"/>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row>
    <row r="58" spans="1:60" x14ac:dyDescent="0.2">
      <c r="A58" s="13" t="s">
        <v>83</v>
      </c>
      <c r="B58" s="14" t="s">
        <v>29</v>
      </c>
      <c r="C58" s="13" t="s">
        <v>30</v>
      </c>
      <c r="D58" s="13" t="s">
        <v>28</v>
      </c>
      <c r="E58" s="15">
        <f>SUMIFS(E59:E62,C59:C62,"Actual")</f>
        <v>5</v>
      </c>
      <c r="F58" s="13">
        <f>IF(COUNTIFS(C59:C62,"Actual",F59:F62,"&lt;&gt;")=0,"",_xlfn.MINIFS(F59:F62,C59:C62,"Actual"))</f>
        <v>8</v>
      </c>
      <c r="G58" s="13" t="str">
        <f>IF(COUNTIFS(C59:C62,"Actual",G59:G62,"")&gt;0,"",_xlfn.MAXIFS(G59:G62,C59:C62,"Actual"))</f>
        <v/>
      </c>
      <c r="H58" s="13" t="str">
        <f>IF(OR(F58="",G58=""),"",G58-F58+1)</f>
        <v/>
      </c>
      <c r="I58" s="16" t="str">
        <f>IF(G58="","",G58-G57)</f>
        <v/>
      </c>
      <c r="J58" s="13"/>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row>
    <row r="59" spans="1:60" x14ac:dyDescent="0.2">
      <c r="A59" s="18" t="s">
        <v>85</v>
      </c>
      <c r="B59" s="19" t="s">
        <v>86</v>
      </c>
      <c r="C59" s="20" t="s">
        <v>27</v>
      </c>
      <c r="D59" s="21" t="s">
        <v>87</v>
      </c>
      <c r="E59" s="22">
        <v>5</v>
      </c>
      <c r="F59" s="22">
        <v>8</v>
      </c>
      <c r="G59" s="22">
        <v>8</v>
      </c>
      <c r="H59" s="23">
        <f>G59-F59+1</f>
        <v>1</v>
      </c>
      <c r="I59" s="23"/>
      <c r="J59" s="21"/>
      <c r="K59" s="24" t="str">
        <f t="shared" ref="K59:AP59" si="38">IF(AND($J59&lt;&gt;"",K$6=$G59),"◆","")</f>
        <v/>
      </c>
      <c r="L59" s="24" t="str">
        <f t="shared" si="38"/>
        <v/>
      </c>
      <c r="M59" s="24" t="str">
        <f t="shared" si="38"/>
        <v/>
      </c>
      <c r="N59" s="24" t="str">
        <f t="shared" si="38"/>
        <v/>
      </c>
      <c r="O59" s="24" t="str">
        <f t="shared" si="38"/>
        <v/>
      </c>
      <c r="P59" s="24" t="str">
        <f t="shared" si="38"/>
        <v/>
      </c>
      <c r="Q59" s="24" t="str">
        <f t="shared" si="38"/>
        <v/>
      </c>
      <c r="R59" s="24" t="str">
        <f t="shared" si="38"/>
        <v/>
      </c>
      <c r="S59" s="24" t="str">
        <f t="shared" si="38"/>
        <v/>
      </c>
      <c r="T59" s="24" t="str">
        <f t="shared" si="38"/>
        <v/>
      </c>
      <c r="U59" s="24" t="str">
        <f t="shared" si="38"/>
        <v/>
      </c>
      <c r="V59" s="24" t="str">
        <f t="shared" si="38"/>
        <v/>
      </c>
      <c r="W59" s="24" t="str">
        <f t="shared" si="38"/>
        <v/>
      </c>
      <c r="X59" s="24" t="str">
        <f t="shared" si="38"/>
        <v/>
      </c>
      <c r="Y59" s="24" t="str">
        <f t="shared" si="38"/>
        <v/>
      </c>
      <c r="Z59" s="24" t="str">
        <f t="shared" si="38"/>
        <v/>
      </c>
      <c r="AA59" s="24" t="str">
        <f t="shared" si="38"/>
        <v/>
      </c>
      <c r="AB59" s="24" t="str">
        <f t="shared" si="38"/>
        <v/>
      </c>
      <c r="AC59" s="24" t="str">
        <f t="shared" si="38"/>
        <v/>
      </c>
      <c r="AD59" s="24" t="str">
        <f t="shared" si="38"/>
        <v/>
      </c>
      <c r="AE59" s="24" t="str">
        <f t="shared" si="38"/>
        <v/>
      </c>
      <c r="AF59" s="24" t="str">
        <f t="shared" si="38"/>
        <v/>
      </c>
      <c r="AG59" s="24" t="str">
        <f t="shared" si="38"/>
        <v/>
      </c>
      <c r="AH59" s="24" t="str">
        <f t="shared" si="38"/>
        <v/>
      </c>
      <c r="AI59" s="24" t="str">
        <f t="shared" si="38"/>
        <v/>
      </c>
      <c r="AJ59" s="24" t="str">
        <f t="shared" si="38"/>
        <v/>
      </c>
      <c r="AK59" s="24" t="str">
        <f t="shared" si="38"/>
        <v/>
      </c>
      <c r="AL59" s="24" t="str">
        <f t="shared" si="38"/>
        <v/>
      </c>
      <c r="AM59" s="24" t="str">
        <f t="shared" si="38"/>
        <v/>
      </c>
      <c r="AN59" s="24" t="str">
        <f t="shared" si="38"/>
        <v/>
      </c>
      <c r="AO59" s="24" t="str">
        <f t="shared" si="38"/>
        <v/>
      </c>
      <c r="AP59" s="24" t="str">
        <f t="shared" si="38"/>
        <v/>
      </c>
      <c r="AQ59" s="24" t="str">
        <f t="shared" ref="AQ59:BH59" si="39">IF(AND($J59&lt;&gt;"",AQ$6=$G59),"◆","")</f>
        <v/>
      </c>
      <c r="AR59" s="24" t="str">
        <f t="shared" si="39"/>
        <v/>
      </c>
      <c r="AS59" s="24" t="str">
        <f t="shared" si="39"/>
        <v/>
      </c>
      <c r="AT59" s="24" t="str">
        <f t="shared" si="39"/>
        <v/>
      </c>
      <c r="AU59" s="24" t="str">
        <f t="shared" si="39"/>
        <v/>
      </c>
      <c r="AV59" s="24" t="str">
        <f t="shared" si="39"/>
        <v/>
      </c>
      <c r="AW59" s="24" t="str">
        <f t="shared" si="39"/>
        <v/>
      </c>
      <c r="AX59" s="24" t="str">
        <f t="shared" si="39"/>
        <v/>
      </c>
      <c r="AY59" s="24" t="str">
        <f t="shared" si="39"/>
        <v/>
      </c>
      <c r="AZ59" s="24" t="str">
        <f t="shared" si="39"/>
        <v/>
      </c>
      <c r="BA59" s="24" t="str">
        <f t="shared" si="39"/>
        <v/>
      </c>
      <c r="BB59" s="24" t="str">
        <f t="shared" si="39"/>
        <v/>
      </c>
      <c r="BC59" s="24" t="str">
        <f t="shared" si="39"/>
        <v/>
      </c>
      <c r="BD59" s="24" t="str">
        <f t="shared" si="39"/>
        <v/>
      </c>
      <c r="BE59" s="24" t="str">
        <f t="shared" si="39"/>
        <v/>
      </c>
      <c r="BF59" s="24" t="str">
        <f t="shared" si="39"/>
        <v/>
      </c>
      <c r="BG59" s="24" t="str">
        <f t="shared" si="39"/>
        <v/>
      </c>
      <c r="BH59" s="24" t="str">
        <f t="shared" si="39"/>
        <v/>
      </c>
    </row>
    <row r="60" spans="1:60" x14ac:dyDescent="0.2">
      <c r="A60" s="25" t="s">
        <v>85</v>
      </c>
      <c r="B60" s="26" t="s">
        <v>29</v>
      </c>
      <c r="C60" s="25" t="s">
        <v>30</v>
      </c>
      <c r="D60" s="25" t="str">
        <f>D59</f>
        <v>Parallel</v>
      </c>
      <c r="E60" s="27">
        <v>5</v>
      </c>
      <c r="F60" s="27">
        <v>8</v>
      </c>
      <c r="G60" s="27">
        <v>8</v>
      </c>
      <c r="H60" s="28">
        <f>IF(OR(F60="",G60=""),"",G60-F60+1)</f>
        <v>1</v>
      </c>
      <c r="I60" s="29">
        <f>IF(G60="","",G60-G59)</f>
        <v>0</v>
      </c>
      <c r="J60" s="2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row>
    <row r="61" spans="1:60" x14ac:dyDescent="0.2">
      <c r="A61" s="31" t="s">
        <v>88</v>
      </c>
      <c r="B61" s="32" t="s">
        <v>89</v>
      </c>
      <c r="C61" s="33" t="s">
        <v>27</v>
      </c>
      <c r="D61" s="34" t="s">
        <v>87</v>
      </c>
      <c r="E61" s="35">
        <v>7</v>
      </c>
      <c r="F61" s="35">
        <v>3</v>
      </c>
      <c r="G61" s="35">
        <v>5</v>
      </c>
      <c r="H61" s="36">
        <f>G61-F61+1</f>
        <v>3</v>
      </c>
      <c r="I61" s="36"/>
      <c r="J61" s="34"/>
      <c r="K61" s="37" t="str">
        <f t="shared" ref="K61:AP61" si="40">IF(AND($J61&lt;&gt;"",K$6=$G61),"◆","")</f>
        <v/>
      </c>
      <c r="L61" s="37" t="str">
        <f t="shared" si="40"/>
        <v/>
      </c>
      <c r="M61" s="37" t="str">
        <f t="shared" si="40"/>
        <v/>
      </c>
      <c r="N61" s="37" t="str">
        <f t="shared" si="40"/>
        <v/>
      </c>
      <c r="O61" s="37" t="str">
        <f t="shared" si="40"/>
        <v/>
      </c>
      <c r="P61" s="37" t="str">
        <f t="shared" si="40"/>
        <v/>
      </c>
      <c r="Q61" s="37" t="str">
        <f t="shared" si="40"/>
        <v/>
      </c>
      <c r="R61" s="37" t="str">
        <f t="shared" si="40"/>
        <v/>
      </c>
      <c r="S61" s="37" t="str">
        <f t="shared" si="40"/>
        <v/>
      </c>
      <c r="T61" s="37" t="str">
        <f t="shared" si="40"/>
        <v/>
      </c>
      <c r="U61" s="37" t="str">
        <f t="shared" si="40"/>
        <v/>
      </c>
      <c r="V61" s="37" t="str">
        <f t="shared" si="40"/>
        <v/>
      </c>
      <c r="W61" s="37" t="str">
        <f t="shared" si="40"/>
        <v/>
      </c>
      <c r="X61" s="37" t="str">
        <f t="shared" si="40"/>
        <v/>
      </c>
      <c r="Y61" s="37" t="str">
        <f t="shared" si="40"/>
        <v/>
      </c>
      <c r="Z61" s="37" t="str">
        <f t="shared" si="40"/>
        <v/>
      </c>
      <c r="AA61" s="37" t="str">
        <f t="shared" si="40"/>
        <v/>
      </c>
      <c r="AB61" s="37" t="str">
        <f t="shared" si="40"/>
        <v/>
      </c>
      <c r="AC61" s="37" t="str">
        <f t="shared" si="40"/>
        <v/>
      </c>
      <c r="AD61" s="37" t="str">
        <f t="shared" si="40"/>
        <v/>
      </c>
      <c r="AE61" s="37" t="str">
        <f t="shared" si="40"/>
        <v/>
      </c>
      <c r="AF61" s="37" t="str">
        <f t="shared" si="40"/>
        <v/>
      </c>
      <c r="AG61" s="37" t="str">
        <f t="shared" si="40"/>
        <v/>
      </c>
      <c r="AH61" s="37" t="str">
        <f t="shared" si="40"/>
        <v/>
      </c>
      <c r="AI61" s="37" t="str">
        <f t="shared" si="40"/>
        <v/>
      </c>
      <c r="AJ61" s="37" t="str">
        <f t="shared" si="40"/>
        <v/>
      </c>
      <c r="AK61" s="37" t="str">
        <f t="shared" si="40"/>
        <v/>
      </c>
      <c r="AL61" s="37" t="str">
        <f t="shared" si="40"/>
        <v/>
      </c>
      <c r="AM61" s="37" t="str">
        <f t="shared" si="40"/>
        <v/>
      </c>
      <c r="AN61" s="37" t="str">
        <f t="shared" si="40"/>
        <v/>
      </c>
      <c r="AO61" s="37" t="str">
        <f t="shared" si="40"/>
        <v/>
      </c>
      <c r="AP61" s="37" t="str">
        <f t="shared" si="40"/>
        <v/>
      </c>
      <c r="AQ61" s="37" t="str">
        <f t="shared" ref="AQ61:BH61" si="41">IF(AND($J61&lt;&gt;"",AQ$6=$G61),"◆","")</f>
        <v/>
      </c>
      <c r="AR61" s="37" t="str">
        <f t="shared" si="41"/>
        <v/>
      </c>
      <c r="AS61" s="37" t="str">
        <f t="shared" si="41"/>
        <v/>
      </c>
      <c r="AT61" s="37" t="str">
        <f t="shared" si="41"/>
        <v/>
      </c>
      <c r="AU61" s="37" t="str">
        <f t="shared" si="41"/>
        <v/>
      </c>
      <c r="AV61" s="37" t="str">
        <f t="shared" si="41"/>
        <v/>
      </c>
      <c r="AW61" s="37" t="str">
        <f t="shared" si="41"/>
        <v/>
      </c>
      <c r="AX61" s="37" t="str">
        <f t="shared" si="41"/>
        <v/>
      </c>
      <c r="AY61" s="37" t="str">
        <f t="shared" si="41"/>
        <v/>
      </c>
      <c r="AZ61" s="37" t="str">
        <f t="shared" si="41"/>
        <v/>
      </c>
      <c r="BA61" s="37" t="str">
        <f t="shared" si="41"/>
        <v/>
      </c>
      <c r="BB61" s="37" t="str">
        <f t="shared" si="41"/>
        <v/>
      </c>
      <c r="BC61" s="37" t="str">
        <f t="shared" si="41"/>
        <v/>
      </c>
      <c r="BD61" s="37" t="str">
        <f t="shared" si="41"/>
        <v/>
      </c>
      <c r="BE61" s="37" t="str">
        <f t="shared" si="41"/>
        <v/>
      </c>
      <c r="BF61" s="37" t="str">
        <f t="shared" si="41"/>
        <v/>
      </c>
      <c r="BG61" s="37" t="str">
        <f t="shared" si="41"/>
        <v/>
      </c>
      <c r="BH61" s="37" t="str">
        <f t="shared" si="41"/>
        <v/>
      </c>
    </row>
    <row r="62" spans="1:60" x14ac:dyDescent="0.2">
      <c r="A62" s="25" t="s">
        <v>88</v>
      </c>
      <c r="B62" s="26" t="s">
        <v>29</v>
      </c>
      <c r="C62" s="25" t="s">
        <v>30</v>
      </c>
      <c r="D62" s="25" t="str">
        <f>D61</f>
        <v>Parallel</v>
      </c>
      <c r="E62" s="27"/>
      <c r="F62" s="27"/>
      <c r="G62" s="27"/>
      <c r="H62" s="28" t="str">
        <f>IF(OR(F62="",G62=""),"",G62-F62+1)</f>
        <v/>
      </c>
      <c r="I62" s="29" t="str">
        <f>IF(G62="","",G62-G61)</f>
        <v/>
      </c>
      <c r="J62" s="2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row>
    <row r="63" spans="1:60" x14ac:dyDescent="0.2">
      <c r="A63" s="10" t="s">
        <v>90</v>
      </c>
      <c r="B63" s="11" t="s">
        <v>91</v>
      </c>
      <c r="C63" s="10" t="s">
        <v>27</v>
      </c>
      <c r="D63" s="10" t="s">
        <v>28</v>
      </c>
      <c r="E63" s="10">
        <f>SUMIFS(E65:E72,C65:C72,"Plan")</f>
        <v>25</v>
      </c>
      <c r="F63" s="10">
        <f>_xlfn.MINIFS(F65:F72,C65:C72,"Plan")</f>
        <v>6</v>
      </c>
      <c r="G63" s="10">
        <f>_xlfn.MAXIFS(G65:G72,C65:C72,"Plan")</f>
        <v>15</v>
      </c>
      <c r="H63" s="10">
        <f>G63-F63+1</f>
        <v>10</v>
      </c>
      <c r="I63" s="10"/>
      <c r="J63" s="10"/>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row>
    <row r="64" spans="1:60" x14ac:dyDescent="0.2">
      <c r="A64" s="13" t="s">
        <v>90</v>
      </c>
      <c r="B64" s="14" t="s">
        <v>29</v>
      </c>
      <c r="C64" s="13" t="s">
        <v>30</v>
      </c>
      <c r="D64" s="13" t="s">
        <v>28</v>
      </c>
      <c r="E64" s="15">
        <f>SUMIFS(E65:E72,C65:C72,"Actual")</f>
        <v>0</v>
      </c>
      <c r="F64" s="13" t="str">
        <f>IF(COUNTIFS(C65:C72,"Actual",F65:F72,"&lt;&gt;")=0,"",_xlfn.MINIFS(F65:F72,C65:C72,"Actual"))</f>
        <v/>
      </c>
      <c r="G64" s="13" t="str">
        <f>IF(COUNTIFS(C65:C72,"Actual",G65:G72,"")&gt;0,"",_xlfn.MAXIFS(G65:G72,C65:C72,"Actual"))</f>
        <v/>
      </c>
      <c r="H64" s="13" t="str">
        <f>IF(OR(F64="",G64=""),"",G64-F64+1)</f>
        <v/>
      </c>
      <c r="I64" s="16" t="str">
        <f>IF(G64="","",G64-G63)</f>
        <v/>
      </c>
      <c r="J64" s="13"/>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row>
    <row r="65" spans="1:60" x14ac:dyDescent="0.2">
      <c r="A65" s="18" t="s">
        <v>92</v>
      </c>
      <c r="B65" s="19" t="s">
        <v>93</v>
      </c>
      <c r="C65" s="20" t="s">
        <v>27</v>
      </c>
      <c r="D65" s="21" t="s">
        <v>87</v>
      </c>
      <c r="E65" s="22">
        <v>5</v>
      </c>
      <c r="F65" s="22">
        <v>6</v>
      </c>
      <c r="G65" s="22">
        <v>7</v>
      </c>
      <c r="H65" s="23">
        <f>G65-F65+1</f>
        <v>2</v>
      </c>
      <c r="I65" s="23"/>
      <c r="J65" s="21"/>
      <c r="K65" s="24" t="str">
        <f t="shared" ref="K65:AP65" si="42">IF(AND($J65&lt;&gt;"",K$6=$G65),"◆","")</f>
        <v/>
      </c>
      <c r="L65" s="24" t="str">
        <f t="shared" si="42"/>
        <v/>
      </c>
      <c r="M65" s="24" t="str">
        <f t="shared" si="42"/>
        <v/>
      </c>
      <c r="N65" s="24" t="str">
        <f t="shared" si="42"/>
        <v/>
      </c>
      <c r="O65" s="24" t="str">
        <f t="shared" si="42"/>
        <v/>
      </c>
      <c r="P65" s="24" t="str">
        <f t="shared" si="42"/>
        <v/>
      </c>
      <c r="Q65" s="24" t="str">
        <f t="shared" si="42"/>
        <v/>
      </c>
      <c r="R65" s="24" t="str">
        <f t="shared" si="42"/>
        <v/>
      </c>
      <c r="S65" s="24" t="str">
        <f t="shared" si="42"/>
        <v/>
      </c>
      <c r="T65" s="24" t="str">
        <f t="shared" si="42"/>
        <v/>
      </c>
      <c r="U65" s="24" t="str">
        <f t="shared" si="42"/>
        <v/>
      </c>
      <c r="V65" s="24" t="str">
        <f t="shared" si="42"/>
        <v/>
      </c>
      <c r="W65" s="24" t="str">
        <f t="shared" si="42"/>
        <v/>
      </c>
      <c r="X65" s="24" t="str">
        <f t="shared" si="42"/>
        <v/>
      </c>
      <c r="Y65" s="24" t="str">
        <f t="shared" si="42"/>
        <v/>
      </c>
      <c r="Z65" s="24" t="str">
        <f t="shared" si="42"/>
        <v/>
      </c>
      <c r="AA65" s="24" t="str">
        <f t="shared" si="42"/>
        <v/>
      </c>
      <c r="AB65" s="24" t="str">
        <f t="shared" si="42"/>
        <v/>
      </c>
      <c r="AC65" s="24" t="str">
        <f t="shared" si="42"/>
        <v/>
      </c>
      <c r="AD65" s="24" t="str">
        <f t="shared" si="42"/>
        <v/>
      </c>
      <c r="AE65" s="24" t="str">
        <f t="shared" si="42"/>
        <v/>
      </c>
      <c r="AF65" s="24" t="str">
        <f t="shared" si="42"/>
        <v/>
      </c>
      <c r="AG65" s="24" t="str">
        <f t="shared" si="42"/>
        <v/>
      </c>
      <c r="AH65" s="24" t="str">
        <f t="shared" si="42"/>
        <v/>
      </c>
      <c r="AI65" s="24" t="str">
        <f t="shared" si="42"/>
        <v/>
      </c>
      <c r="AJ65" s="24" t="str">
        <f t="shared" si="42"/>
        <v/>
      </c>
      <c r="AK65" s="24" t="str">
        <f t="shared" si="42"/>
        <v/>
      </c>
      <c r="AL65" s="24" t="str">
        <f t="shared" si="42"/>
        <v/>
      </c>
      <c r="AM65" s="24" t="str">
        <f t="shared" si="42"/>
        <v/>
      </c>
      <c r="AN65" s="24" t="str">
        <f t="shared" si="42"/>
        <v/>
      </c>
      <c r="AO65" s="24" t="str">
        <f t="shared" si="42"/>
        <v/>
      </c>
      <c r="AP65" s="24" t="str">
        <f t="shared" si="42"/>
        <v/>
      </c>
      <c r="AQ65" s="24" t="str">
        <f t="shared" ref="AQ65:BH65" si="43">IF(AND($J65&lt;&gt;"",AQ$6=$G65),"◆","")</f>
        <v/>
      </c>
      <c r="AR65" s="24" t="str">
        <f t="shared" si="43"/>
        <v/>
      </c>
      <c r="AS65" s="24" t="str">
        <f t="shared" si="43"/>
        <v/>
      </c>
      <c r="AT65" s="24" t="str">
        <f t="shared" si="43"/>
        <v/>
      </c>
      <c r="AU65" s="24" t="str">
        <f t="shared" si="43"/>
        <v/>
      </c>
      <c r="AV65" s="24" t="str">
        <f t="shared" si="43"/>
        <v/>
      </c>
      <c r="AW65" s="24" t="str">
        <f t="shared" si="43"/>
        <v/>
      </c>
      <c r="AX65" s="24" t="str">
        <f t="shared" si="43"/>
        <v/>
      </c>
      <c r="AY65" s="24" t="str">
        <f t="shared" si="43"/>
        <v/>
      </c>
      <c r="AZ65" s="24" t="str">
        <f t="shared" si="43"/>
        <v/>
      </c>
      <c r="BA65" s="24" t="str">
        <f t="shared" si="43"/>
        <v/>
      </c>
      <c r="BB65" s="24" t="str">
        <f t="shared" si="43"/>
        <v/>
      </c>
      <c r="BC65" s="24" t="str">
        <f t="shared" si="43"/>
        <v/>
      </c>
      <c r="BD65" s="24" t="str">
        <f t="shared" si="43"/>
        <v/>
      </c>
      <c r="BE65" s="24" t="str">
        <f t="shared" si="43"/>
        <v/>
      </c>
      <c r="BF65" s="24" t="str">
        <f t="shared" si="43"/>
        <v/>
      </c>
      <c r="BG65" s="24" t="str">
        <f t="shared" si="43"/>
        <v/>
      </c>
      <c r="BH65" s="24" t="str">
        <f t="shared" si="43"/>
        <v/>
      </c>
    </row>
    <row r="66" spans="1:60" x14ac:dyDescent="0.2">
      <c r="A66" s="25" t="s">
        <v>92</v>
      </c>
      <c r="B66" s="26" t="s">
        <v>29</v>
      </c>
      <c r="C66" s="25" t="s">
        <v>30</v>
      </c>
      <c r="D66" s="25" t="str">
        <f>D65</f>
        <v>Parallel</v>
      </c>
      <c r="E66" s="27"/>
      <c r="F66" s="27"/>
      <c r="G66" s="27"/>
      <c r="H66" s="28" t="str">
        <f>IF(OR(F66="",G66=""),"",G66-F66+1)</f>
        <v/>
      </c>
      <c r="I66" s="29" t="str">
        <f>IF(G66="","",G66-G65)</f>
        <v/>
      </c>
      <c r="J66" s="2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row>
    <row r="67" spans="1:60" x14ac:dyDescent="0.2">
      <c r="A67" s="31" t="s">
        <v>94</v>
      </c>
      <c r="B67" s="32" t="s">
        <v>95</v>
      </c>
      <c r="C67" s="33" t="s">
        <v>27</v>
      </c>
      <c r="D67" s="34" t="s">
        <v>87</v>
      </c>
      <c r="E67" s="35">
        <v>8</v>
      </c>
      <c r="F67" s="35">
        <v>8</v>
      </c>
      <c r="G67" s="35">
        <v>10</v>
      </c>
      <c r="H67" s="36">
        <f>G67-F67+1</f>
        <v>3</v>
      </c>
      <c r="I67" s="36"/>
      <c r="J67" s="34"/>
      <c r="K67" s="37" t="str">
        <f t="shared" ref="K67:AP67" si="44">IF(AND($J67&lt;&gt;"",K$6=$G67),"◆","")</f>
        <v/>
      </c>
      <c r="L67" s="37" t="str">
        <f t="shared" si="44"/>
        <v/>
      </c>
      <c r="M67" s="37" t="str">
        <f t="shared" si="44"/>
        <v/>
      </c>
      <c r="N67" s="37" t="str">
        <f t="shared" si="44"/>
        <v/>
      </c>
      <c r="O67" s="37" t="str">
        <f t="shared" si="44"/>
        <v/>
      </c>
      <c r="P67" s="37" t="str">
        <f t="shared" si="44"/>
        <v/>
      </c>
      <c r="Q67" s="37" t="str">
        <f t="shared" si="44"/>
        <v/>
      </c>
      <c r="R67" s="37" t="str">
        <f t="shared" si="44"/>
        <v/>
      </c>
      <c r="S67" s="37" t="str">
        <f t="shared" si="44"/>
        <v/>
      </c>
      <c r="T67" s="37" t="str">
        <f t="shared" si="44"/>
        <v/>
      </c>
      <c r="U67" s="37" t="str">
        <f t="shared" si="44"/>
        <v/>
      </c>
      <c r="V67" s="37" t="str">
        <f t="shared" si="44"/>
        <v/>
      </c>
      <c r="W67" s="37" t="str">
        <f t="shared" si="44"/>
        <v/>
      </c>
      <c r="X67" s="37" t="str">
        <f t="shared" si="44"/>
        <v/>
      </c>
      <c r="Y67" s="37" t="str">
        <f t="shared" si="44"/>
        <v/>
      </c>
      <c r="Z67" s="37" t="str">
        <f t="shared" si="44"/>
        <v/>
      </c>
      <c r="AA67" s="37" t="str">
        <f t="shared" si="44"/>
        <v/>
      </c>
      <c r="AB67" s="37" t="str">
        <f t="shared" si="44"/>
        <v/>
      </c>
      <c r="AC67" s="37" t="str">
        <f t="shared" si="44"/>
        <v/>
      </c>
      <c r="AD67" s="37" t="str">
        <f t="shared" si="44"/>
        <v/>
      </c>
      <c r="AE67" s="37" t="str">
        <f t="shared" si="44"/>
        <v/>
      </c>
      <c r="AF67" s="37" t="str">
        <f t="shared" si="44"/>
        <v/>
      </c>
      <c r="AG67" s="37" t="str">
        <f t="shared" si="44"/>
        <v/>
      </c>
      <c r="AH67" s="37" t="str">
        <f t="shared" si="44"/>
        <v/>
      </c>
      <c r="AI67" s="37" t="str">
        <f t="shared" si="44"/>
        <v/>
      </c>
      <c r="AJ67" s="37" t="str">
        <f t="shared" si="44"/>
        <v/>
      </c>
      <c r="AK67" s="37" t="str">
        <f t="shared" si="44"/>
        <v/>
      </c>
      <c r="AL67" s="37" t="str">
        <f t="shared" si="44"/>
        <v/>
      </c>
      <c r="AM67" s="37" t="str">
        <f t="shared" si="44"/>
        <v/>
      </c>
      <c r="AN67" s="37" t="str">
        <f t="shared" si="44"/>
        <v/>
      </c>
      <c r="AO67" s="37" t="str">
        <f t="shared" si="44"/>
        <v/>
      </c>
      <c r="AP67" s="37" t="str">
        <f t="shared" si="44"/>
        <v/>
      </c>
      <c r="AQ67" s="37" t="str">
        <f t="shared" ref="AQ67:BH67" si="45">IF(AND($J67&lt;&gt;"",AQ$6=$G67),"◆","")</f>
        <v/>
      </c>
      <c r="AR67" s="37" t="str">
        <f t="shared" si="45"/>
        <v/>
      </c>
      <c r="AS67" s="37" t="str">
        <f t="shared" si="45"/>
        <v/>
      </c>
      <c r="AT67" s="37" t="str">
        <f t="shared" si="45"/>
        <v/>
      </c>
      <c r="AU67" s="37" t="str">
        <f t="shared" si="45"/>
        <v/>
      </c>
      <c r="AV67" s="37" t="str">
        <f t="shared" si="45"/>
        <v/>
      </c>
      <c r="AW67" s="37" t="str">
        <f t="shared" si="45"/>
        <v/>
      </c>
      <c r="AX67" s="37" t="str">
        <f t="shared" si="45"/>
        <v/>
      </c>
      <c r="AY67" s="37" t="str">
        <f t="shared" si="45"/>
        <v/>
      </c>
      <c r="AZ67" s="37" t="str">
        <f t="shared" si="45"/>
        <v/>
      </c>
      <c r="BA67" s="37" t="str">
        <f t="shared" si="45"/>
        <v/>
      </c>
      <c r="BB67" s="37" t="str">
        <f t="shared" si="45"/>
        <v/>
      </c>
      <c r="BC67" s="37" t="str">
        <f t="shared" si="45"/>
        <v/>
      </c>
      <c r="BD67" s="37" t="str">
        <f t="shared" si="45"/>
        <v/>
      </c>
      <c r="BE67" s="37" t="str">
        <f t="shared" si="45"/>
        <v/>
      </c>
      <c r="BF67" s="37" t="str">
        <f t="shared" si="45"/>
        <v/>
      </c>
      <c r="BG67" s="37" t="str">
        <f t="shared" si="45"/>
        <v/>
      </c>
      <c r="BH67" s="37" t="str">
        <f t="shared" si="45"/>
        <v/>
      </c>
    </row>
    <row r="68" spans="1:60" x14ac:dyDescent="0.2">
      <c r="A68" s="25" t="s">
        <v>94</v>
      </c>
      <c r="B68" s="26" t="s">
        <v>29</v>
      </c>
      <c r="C68" s="25" t="s">
        <v>30</v>
      </c>
      <c r="D68" s="25" t="str">
        <f>D67</f>
        <v>Parallel</v>
      </c>
      <c r="E68" s="27"/>
      <c r="F68" s="27"/>
      <c r="G68" s="27"/>
      <c r="H68" s="28" t="str">
        <f>IF(OR(F68="",G68=""),"",G68-F68+1)</f>
        <v/>
      </c>
      <c r="I68" s="29" t="str">
        <f>IF(G68="","",G68-G67)</f>
        <v/>
      </c>
      <c r="J68" s="2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row>
    <row r="69" spans="1:60" x14ac:dyDescent="0.2">
      <c r="A69" s="18" t="s">
        <v>96</v>
      </c>
      <c r="B69" s="19" t="s">
        <v>97</v>
      </c>
      <c r="C69" s="20" t="s">
        <v>27</v>
      </c>
      <c r="D69" s="21" t="s">
        <v>87</v>
      </c>
      <c r="E69" s="22">
        <v>8</v>
      </c>
      <c r="F69" s="22">
        <v>11</v>
      </c>
      <c r="G69" s="22">
        <v>13</v>
      </c>
      <c r="H69" s="23">
        <f>G69-F69+1</f>
        <v>3</v>
      </c>
      <c r="I69" s="23"/>
      <c r="J69" s="21"/>
      <c r="K69" s="24" t="str">
        <f t="shared" ref="K69:AP69" si="46">IF(AND($J69&lt;&gt;"",K$6=$G69),"◆","")</f>
        <v/>
      </c>
      <c r="L69" s="24" t="str">
        <f t="shared" si="46"/>
        <v/>
      </c>
      <c r="M69" s="24" t="str">
        <f t="shared" si="46"/>
        <v/>
      </c>
      <c r="N69" s="24" t="str">
        <f t="shared" si="46"/>
        <v/>
      </c>
      <c r="O69" s="24" t="str">
        <f t="shared" si="46"/>
        <v/>
      </c>
      <c r="P69" s="24" t="str">
        <f t="shared" si="46"/>
        <v/>
      </c>
      <c r="Q69" s="24" t="str">
        <f t="shared" si="46"/>
        <v/>
      </c>
      <c r="R69" s="24" t="str">
        <f t="shared" si="46"/>
        <v/>
      </c>
      <c r="S69" s="24" t="str">
        <f t="shared" si="46"/>
        <v/>
      </c>
      <c r="T69" s="24" t="str">
        <f t="shared" si="46"/>
        <v/>
      </c>
      <c r="U69" s="24" t="str">
        <f t="shared" si="46"/>
        <v/>
      </c>
      <c r="V69" s="24" t="str">
        <f t="shared" si="46"/>
        <v/>
      </c>
      <c r="W69" s="24" t="str">
        <f t="shared" si="46"/>
        <v/>
      </c>
      <c r="X69" s="24" t="str">
        <f t="shared" si="46"/>
        <v/>
      </c>
      <c r="Y69" s="24" t="str">
        <f t="shared" si="46"/>
        <v/>
      </c>
      <c r="Z69" s="24" t="str">
        <f t="shared" si="46"/>
        <v/>
      </c>
      <c r="AA69" s="24" t="str">
        <f t="shared" si="46"/>
        <v/>
      </c>
      <c r="AB69" s="24" t="str">
        <f t="shared" si="46"/>
        <v/>
      </c>
      <c r="AC69" s="24" t="str">
        <f t="shared" si="46"/>
        <v/>
      </c>
      <c r="AD69" s="24" t="str">
        <f t="shared" si="46"/>
        <v/>
      </c>
      <c r="AE69" s="24" t="str">
        <f t="shared" si="46"/>
        <v/>
      </c>
      <c r="AF69" s="24" t="str">
        <f t="shared" si="46"/>
        <v/>
      </c>
      <c r="AG69" s="24" t="str">
        <f t="shared" si="46"/>
        <v/>
      </c>
      <c r="AH69" s="24" t="str">
        <f t="shared" si="46"/>
        <v/>
      </c>
      <c r="AI69" s="24" t="str">
        <f t="shared" si="46"/>
        <v/>
      </c>
      <c r="AJ69" s="24" t="str">
        <f t="shared" si="46"/>
        <v/>
      </c>
      <c r="AK69" s="24" t="str">
        <f t="shared" si="46"/>
        <v/>
      </c>
      <c r="AL69" s="24" t="str">
        <f t="shared" si="46"/>
        <v/>
      </c>
      <c r="AM69" s="24" t="str">
        <f t="shared" si="46"/>
        <v/>
      </c>
      <c r="AN69" s="24" t="str">
        <f t="shared" si="46"/>
        <v/>
      </c>
      <c r="AO69" s="24" t="str">
        <f t="shared" si="46"/>
        <v/>
      </c>
      <c r="AP69" s="24" t="str">
        <f t="shared" si="46"/>
        <v/>
      </c>
      <c r="AQ69" s="24" t="str">
        <f t="shared" ref="AQ69:BH69" si="47">IF(AND($J69&lt;&gt;"",AQ$6=$G69),"◆","")</f>
        <v/>
      </c>
      <c r="AR69" s="24" t="str">
        <f t="shared" si="47"/>
        <v/>
      </c>
      <c r="AS69" s="24" t="str">
        <f t="shared" si="47"/>
        <v/>
      </c>
      <c r="AT69" s="24" t="str">
        <f t="shared" si="47"/>
        <v/>
      </c>
      <c r="AU69" s="24" t="str">
        <f t="shared" si="47"/>
        <v/>
      </c>
      <c r="AV69" s="24" t="str">
        <f t="shared" si="47"/>
        <v/>
      </c>
      <c r="AW69" s="24" t="str">
        <f t="shared" si="47"/>
        <v/>
      </c>
      <c r="AX69" s="24" t="str">
        <f t="shared" si="47"/>
        <v/>
      </c>
      <c r="AY69" s="24" t="str">
        <f t="shared" si="47"/>
        <v/>
      </c>
      <c r="AZ69" s="24" t="str">
        <f t="shared" si="47"/>
        <v/>
      </c>
      <c r="BA69" s="24" t="str">
        <f t="shared" si="47"/>
        <v/>
      </c>
      <c r="BB69" s="24" t="str">
        <f t="shared" si="47"/>
        <v/>
      </c>
      <c r="BC69" s="24" t="str">
        <f t="shared" si="47"/>
        <v/>
      </c>
      <c r="BD69" s="24" t="str">
        <f t="shared" si="47"/>
        <v/>
      </c>
      <c r="BE69" s="24" t="str">
        <f t="shared" si="47"/>
        <v/>
      </c>
      <c r="BF69" s="24" t="str">
        <f t="shared" si="47"/>
        <v/>
      </c>
      <c r="BG69" s="24" t="str">
        <f t="shared" si="47"/>
        <v/>
      </c>
      <c r="BH69" s="24" t="str">
        <f t="shared" si="47"/>
        <v/>
      </c>
    </row>
    <row r="70" spans="1:60" x14ac:dyDescent="0.2">
      <c r="A70" s="25" t="s">
        <v>96</v>
      </c>
      <c r="B70" s="26" t="s">
        <v>29</v>
      </c>
      <c r="C70" s="25" t="s">
        <v>30</v>
      </c>
      <c r="D70" s="25" t="str">
        <f>D69</f>
        <v>Parallel</v>
      </c>
      <c r="E70" s="27"/>
      <c r="F70" s="27"/>
      <c r="G70" s="27"/>
      <c r="H70" s="28" t="str">
        <f>IF(OR(F70="",G70=""),"",G70-F70+1)</f>
        <v/>
      </c>
      <c r="I70" s="29" t="str">
        <f>IF(G70="","",G70-G69)</f>
        <v/>
      </c>
      <c r="J70" s="2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row>
    <row r="71" spans="1:60" x14ac:dyDescent="0.2">
      <c r="A71" s="31" t="s">
        <v>98</v>
      </c>
      <c r="B71" s="32" t="s">
        <v>99</v>
      </c>
      <c r="C71" s="33" t="s">
        <v>27</v>
      </c>
      <c r="D71" s="34" t="s">
        <v>87</v>
      </c>
      <c r="E71" s="35">
        <v>4</v>
      </c>
      <c r="F71" s="35">
        <v>14</v>
      </c>
      <c r="G71" s="35">
        <v>15</v>
      </c>
      <c r="H71" s="36">
        <f>G71-F71+1</f>
        <v>2</v>
      </c>
      <c r="I71" s="36"/>
      <c r="J71" s="34"/>
      <c r="K71" s="37" t="str">
        <f t="shared" ref="K71:AP71" si="48">IF(AND($J71&lt;&gt;"",K$6=$G71),"◆","")</f>
        <v/>
      </c>
      <c r="L71" s="37" t="str">
        <f t="shared" si="48"/>
        <v/>
      </c>
      <c r="M71" s="37" t="str">
        <f t="shared" si="48"/>
        <v/>
      </c>
      <c r="N71" s="37" t="str">
        <f t="shared" si="48"/>
        <v/>
      </c>
      <c r="O71" s="37" t="str">
        <f t="shared" si="48"/>
        <v/>
      </c>
      <c r="P71" s="37" t="str">
        <f t="shared" si="48"/>
        <v/>
      </c>
      <c r="Q71" s="37" t="str">
        <f t="shared" si="48"/>
        <v/>
      </c>
      <c r="R71" s="37" t="str">
        <f t="shared" si="48"/>
        <v/>
      </c>
      <c r="S71" s="37" t="str">
        <f t="shared" si="48"/>
        <v/>
      </c>
      <c r="T71" s="37" t="str">
        <f t="shared" si="48"/>
        <v/>
      </c>
      <c r="U71" s="37" t="str">
        <f t="shared" si="48"/>
        <v/>
      </c>
      <c r="V71" s="37" t="str">
        <f t="shared" si="48"/>
        <v/>
      </c>
      <c r="W71" s="37" t="str">
        <f t="shared" si="48"/>
        <v/>
      </c>
      <c r="X71" s="37" t="str">
        <f t="shared" si="48"/>
        <v/>
      </c>
      <c r="Y71" s="37" t="str">
        <f t="shared" si="48"/>
        <v/>
      </c>
      <c r="Z71" s="37" t="str">
        <f t="shared" si="48"/>
        <v/>
      </c>
      <c r="AA71" s="37" t="str">
        <f t="shared" si="48"/>
        <v/>
      </c>
      <c r="AB71" s="37" t="str">
        <f t="shared" si="48"/>
        <v/>
      </c>
      <c r="AC71" s="37" t="str">
        <f t="shared" si="48"/>
        <v/>
      </c>
      <c r="AD71" s="37" t="str">
        <f t="shared" si="48"/>
        <v/>
      </c>
      <c r="AE71" s="37" t="str">
        <f t="shared" si="48"/>
        <v/>
      </c>
      <c r="AF71" s="37" t="str">
        <f t="shared" si="48"/>
        <v/>
      </c>
      <c r="AG71" s="37" t="str">
        <f t="shared" si="48"/>
        <v/>
      </c>
      <c r="AH71" s="37" t="str">
        <f t="shared" si="48"/>
        <v/>
      </c>
      <c r="AI71" s="37" t="str">
        <f t="shared" si="48"/>
        <v/>
      </c>
      <c r="AJ71" s="37" t="str">
        <f t="shared" si="48"/>
        <v/>
      </c>
      <c r="AK71" s="37" t="str">
        <f t="shared" si="48"/>
        <v/>
      </c>
      <c r="AL71" s="37" t="str">
        <f t="shared" si="48"/>
        <v/>
      </c>
      <c r="AM71" s="37" t="str">
        <f t="shared" si="48"/>
        <v/>
      </c>
      <c r="AN71" s="37" t="str">
        <f t="shared" si="48"/>
        <v/>
      </c>
      <c r="AO71" s="37" t="str">
        <f t="shared" si="48"/>
        <v/>
      </c>
      <c r="AP71" s="37" t="str">
        <f t="shared" si="48"/>
        <v/>
      </c>
      <c r="AQ71" s="37" t="str">
        <f t="shared" ref="AQ71:BH71" si="49">IF(AND($J71&lt;&gt;"",AQ$6=$G71),"◆","")</f>
        <v/>
      </c>
      <c r="AR71" s="37" t="str">
        <f t="shared" si="49"/>
        <v/>
      </c>
      <c r="AS71" s="37" t="str">
        <f t="shared" si="49"/>
        <v/>
      </c>
      <c r="AT71" s="37" t="str">
        <f t="shared" si="49"/>
        <v/>
      </c>
      <c r="AU71" s="37" t="str">
        <f t="shared" si="49"/>
        <v/>
      </c>
      <c r="AV71" s="37" t="str">
        <f t="shared" si="49"/>
        <v/>
      </c>
      <c r="AW71" s="37" t="str">
        <f t="shared" si="49"/>
        <v/>
      </c>
      <c r="AX71" s="37" t="str">
        <f t="shared" si="49"/>
        <v/>
      </c>
      <c r="AY71" s="37" t="str">
        <f t="shared" si="49"/>
        <v/>
      </c>
      <c r="AZ71" s="37" t="str">
        <f t="shared" si="49"/>
        <v/>
      </c>
      <c r="BA71" s="37" t="str">
        <f t="shared" si="49"/>
        <v/>
      </c>
      <c r="BB71" s="37" t="str">
        <f t="shared" si="49"/>
        <v/>
      </c>
      <c r="BC71" s="37" t="str">
        <f t="shared" si="49"/>
        <v/>
      </c>
      <c r="BD71" s="37" t="str">
        <f t="shared" si="49"/>
        <v/>
      </c>
      <c r="BE71" s="37" t="str">
        <f t="shared" si="49"/>
        <v/>
      </c>
      <c r="BF71" s="37" t="str">
        <f t="shared" si="49"/>
        <v/>
      </c>
      <c r="BG71" s="37" t="str">
        <f t="shared" si="49"/>
        <v/>
      </c>
      <c r="BH71" s="37" t="str">
        <f t="shared" si="49"/>
        <v/>
      </c>
    </row>
    <row r="72" spans="1:60" x14ac:dyDescent="0.2">
      <c r="A72" s="25" t="s">
        <v>98</v>
      </c>
      <c r="B72" s="26" t="s">
        <v>29</v>
      </c>
      <c r="C72" s="25" t="s">
        <v>30</v>
      </c>
      <c r="D72" s="25" t="str">
        <f>D71</f>
        <v>Parallel</v>
      </c>
      <c r="E72" s="27"/>
      <c r="F72" s="27"/>
      <c r="G72" s="27"/>
      <c r="H72" s="28" t="str">
        <f>IF(OR(F72="",G72=""),"",G72-F72+1)</f>
        <v/>
      </c>
      <c r="I72" s="29" t="str">
        <f>IF(G72="","",G72-G71)</f>
        <v/>
      </c>
      <c r="J72" s="2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row>
    <row r="73" spans="1:60" x14ac:dyDescent="0.2">
      <c r="A73" s="10" t="s">
        <v>100</v>
      </c>
      <c r="B73" s="11" t="s">
        <v>101</v>
      </c>
      <c r="C73" s="10" t="s">
        <v>27</v>
      </c>
      <c r="D73" s="10" t="s">
        <v>28</v>
      </c>
      <c r="E73" s="10">
        <f>SUMIFS(E75:E80,C75:C80,"Plan")</f>
        <v>18</v>
      </c>
      <c r="F73" s="10">
        <f>_xlfn.MINIFS(F75:F80,C75:C80,"Plan")</f>
        <v>16</v>
      </c>
      <c r="G73" s="10">
        <f>_xlfn.MAXIFS(G75:G80,C75:C80,"Plan")</f>
        <v>20</v>
      </c>
      <c r="H73" s="10">
        <f>G73-F73+1</f>
        <v>5</v>
      </c>
      <c r="I73" s="10"/>
      <c r="J73" s="10"/>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row>
    <row r="74" spans="1:60" x14ac:dyDescent="0.2">
      <c r="A74" s="13" t="s">
        <v>100</v>
      </c>
      <c r="B74" s="14" t="s">
        <v>29</v>
      </c>
      <c r="C74" s="13" t="s">
        <v>30</v>
      </c>
      <c r="D74" s="13" t="s">
        <v>28</v>
      </c>
      <c r="E74" s="15">
        <f>SUMIFS(E75:E80,C75:C80,"Actual")</f>
        <v>0</v>
      </c>
      <c r="F74" s="13" t="str">
        <f>IF(COUNTIFS(C75:C80,"Actual",F75:F80,"&lt;&gt;")=0,"",_xlfn.MINIFS(F75:F80,C75:C80,"Actual"))</f>
        <v/>
      </c>
      <c r="G74" s="13" t="str">
        <f>IF(COUNTIFS(C75:C80,"Actual",G75:G80,"")&gt;0,"",_xlfn.MAXIFS(G75:G80,C75:C80,"Actual"))</f>
        <v/>
      </c>
      <c r="H74" s="13" t="str">
        <f>IF(OR(F74="",G74=""),"",G74-F74+1)</f>
        <v/>
      </c>
      <c r="I74" s="16" t="str">
        <f>IF(G74="","",G74-G73)</f>
        <v/>
      </c>
      <c r="J74" s="13"/>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row>
    <row r="75" spans="1:60" x14ac:dyDescent="0.2">
      <c r="A75" s="18" t="s">
        <v>102</v>
      </c>
      <c r="B75" s="19" t="s">
        <v>103</v>
      </c>
      <c r="C75" s="20" t="s">
        <v>27</v>
      </c>
      <c r="D75" s="21" t="s">
        <v>87</v>
      </c>
      <c r="E75" s="22">
        <v>6</v>
      </c>
      <c r="F75" s="22">
        <v>16</v>
      </c>
      <c r="G75" s="22">
        <v>17</v>
      </c>
      <c r="H75" s="23">
        <f>G75-F75+1</f>
        <v>2</v>
      </c>
      <c r="I75" s="23"/>
      <c r="J75" s="21"/>
      <c r="K75" s="24" t="str">
        <f t="shared" ref="K75:AP75" si="50">IF(AND($J75&lt;&gt;"",K$6=$G75),"◆","")</f>
        <v/>
      </c>
      <c r="L75" s="24" t="str">
        <f t="shared" si="50"/>
        <v/>
      </c>
      <c r="M75" s="24" t="str">
        <f t="shared" si="50"/>
        <v/>
      </c>
      <c r="N75" s="24" t="str">
        <f t="shared" si="50"/>
        <v/>
      </c>
      <c r="O75" s="24" t="str">
        <f t="shared" si="50"/>
        <v/>
      </c>
      <c r="P75" s="24" t="str">
        <f t="shared" si="50"/>
        <v/>
      </c>
      <c r="Q75" s="24" t="str">
        <f t="shared" si="50"/>
        <v/>
      </c>
      <c r="R75" s="24" t="str">
        <f t="shared" si="50"/>
        <v/>
      </c>
      <c r="S75" s="24" t="str">
        <f t="shared" si="50"/>
        <v/>
      </c>
      <c r="T75" s="24" t="str">
        <f t="shared" si="50"/>
        <v/>
      </c>
      <c r="U75" s="24" t="str">
        <f t="shared" si="50"/>
        <v/>
      </c>
      <c r="V75" s="24" t="str">
        <f t="shared" si="50"/>
        <v/>
      </c>
      <c r="W75" s="24" t="str">
        <f t="shared" si="50"/>
        <v/>
      </c>
      <c r="X75" s="24" t="str">
        <f t="shared" si="50"/>
        <v/>
      </c>
      <c r="Y75" s="24" t="str">
        <f t="shared" si="50"/>
        <v/>
      </c>
      <c r="Z75" s="24" t="str">
        <f t="shared" si="50"/>
        <v/>
      </c>
      <c r="AA75" s="24" t="str">
        <f t="shared" si="50"/>
        <v/>
      </c>
      <c r="AB75" s="24" t="str">
        <f t="shared" si="50"/>
        <v/>
      </c>
      <c r="AC75" s="24" t="str">
        <f t="shared" si="50"/>
        <v/>
      </c>
      <c r="AD75" s="24" t="str">
        <f t="shared" si="50"/>
        <v/>
      </c>
      <c r="AE75" s="24" t="str">
        <f t="shared" si="50"/>
        <v/>
      </c>
      <c r="AF75" s="24" t="str">
        <f t="shared" si="50"/>
        <v/>
      </c>
      <c r="AG75" s="24" t="str">
        <f t="shared" si="50"/>
        <v/>
      </c>
      <c r="AH75" s="24" t="str">
        <f t="shared" si="50"/>
        <v/>
      </c>
      <c r="AI75" s="24" t="str">
        <f t="shared" si="50"/>
        <v/>
      </c>
      <c r="AJ75" s="24" t="str">
        <f t="shared" si="50"/>
        <v/>
      </c>
      <c r="AK75" s="24" t="str">
        <f t="shared" si="50"/>
        <v/>
      </c>
      <c r="AL75" s="24" t="str">
        <f t="shared" si="50"/>
        <v/>
      </c>
      <c r="AM75" s="24" t="str">
        <f t="shared" si="50"/>
        <v/>
      </c>
      <c r="AN75" s="24" t="str">
        <f t="shared" si="50"/>
        <v/>
      </c>
      <c r="AO75" s="24" t="str">
        <f t="shared" si="50"/>
        <v/>
      </c>
      <c r="AP75" s="24" t="str">
        <f t="shared" si="50"/>
        <v/>
      </c>
      <c r="AQ75" s="24" t="str">
        <f t="shared" ref="AQ75:BH75" si="51">IF(AND($J75&lt;&gt;"",AQ$6=$G75),"◆","")</f>
        <v/>
      </c>
      <c r="AR75" s="24" t="str">
        <f t="shared" si="51"/>
        <v/>
      </c>
      <c r="AS75" s="24" t="str">
        <f t="shared" si="51"/>
        <v/>
      </c>
      <c r="AT75" s="24" t="str">
        <f t="shared" si="51"/>
        <v/>
      </c>
      <c r="AU75" s="24" t="str">
        <f t="shared" si="51"/>
        <v/>
      </c>
      <c r="AV75" s="24" t="str">
        <f t="shared" si="51"/>
        <v/>
      </c>
      <c r="AW75" s="24" t="str">
        <f t="shared" si="51"/>
        <v/>
      </c>
      <c r="AX75" s="24" t="str">
        <f t="shared" si="51"/>
        <v/>
      </c>
      <c r="AY75" s="24" t="str">
        <f t="shared" si="51"/>
        <v/>
      </c>
      <c r="AZ75" s="24" t="str">
        <f t="shared" si="51"/>
        <v/>
      </c>
      <c r="BA75" s="24" t="str">
        <f t="shared" si="51"/>
        <v/>
      </c>
      <c r="BB75" s="24" t="str">
        <f t="shared" si="51"/>
        <v/>
      </c>
      <c r="BC75" s="24" t="str">
        <f t="shared" si="51"/>
        <v/>
      </c>
      <c r="BD75" s="24" t="str">
        <f t="shared" si="51"/>
        <v/>
      </c>
      <c r="BE75" s="24" t="str">
        <f t="shared" si="51"/>
        <v/>
      </c>
      <c r="BF75" s="24" t="str">
        <f t="shared" si="51"/>
        <v/>
      </c>
      <c r="BG75" s="24" t="str">
        <f t="shared" si="51"/>
        <v/>
      </c>
      <c r="BH75" s="24" t="str">
        <f t="shared" si="51"/>
        <v/>
      </c>
    </row>
    <row r="76" spans="1:60" x14ac:dyDescent="0.2">
      <c r="A76" s="25" t="s">
        <v>102</v>
      </c>
      <c r="B76" s="26" t="s">
        <v>29</v>
      </c>
      <c r="C76" s="25" t="s">
        <v>30</v>
      </c>
      <c r="D76" s="25" t="str">
        <f>D75</f>
        <v>Parallel</v>
      </c>
      <c r="E76" s="27"/>
      <c r="F76" s="27"/>
      <c r="G76" s="27"/>
      <c r="H76" s="28" t="str">
        <f>IF(OR(F76="",G76=""),"",G76-F76+1)</f>
        <v/>
      </c>
      <c r="I76" s="29" t="str">
        <f>IF(G76="","",G76-G75)</f>
        <v/>
      </c>
      <c r="J76" s="2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row>
    <row r="77" spans="1:60" x14ac:dyDescent="0.2">
      <c r="A77" s="31" t="s">
        <v>104</v>
      </c>
      <c r="B77" s="32" t="s">
        <v>105</v>
      </c>
      <c r="C77" s="33" t="s">
        <v>27</v>
      </c>
      <c r="D77" s="34" t="s">
        <v>87</v>
      </c>
      <c r="E77" s="35">
        <v>8</v>
      </c>
      <c r="F77" s="35">
        <v>17</v>
      </c>
      <c r="G77" s="35">
        <v>19</v>
      </c>
      <c r="H77" s="36">
        <f>G77-F77+1</f>
        <v>3</v>
      </c>
      <c r="I77" s="36"/>
      <c r="J77" s="34"/>
      <c r="K77" s="37" t="str">
        <f t="shared" ref="K77:AP77" si="52">IF(AND($J77&lt;&gt;"",K$6=$G77),"◆","")</f>
        <v/>
      </c>
      <c r="L77" s="37" t="str">
        <f t="shared" si="52"/>
        <v/>
      </c>
      <c r="M77" s="37" t="str">
        <f t="shared" si="52"/>
        <v/>
      </c>
      <c r="N77" s="37" t="str">
        <f t="shared" si="52"/>
        <v/>
      </c>
      <c r="O77" s="37" t="str">
        <f t="shared" si="52"/>
        <v/>
      </c>
      <c r="P77" s="37" t="str">
        <f t="shared" si="52"/>
        <v/>
      </c>
      <c r="Q77" s="37" t="str">
        <f t="shared" si="52"/>
        <v/>
      </c>
      <c r="R77" s="37" t="str">
        <f t="shared" si="52"/>
        <v/>
      </c>
      <c r="S77" s="37" t="str">
        <f t="shared" si="52"/>
        <v/>
      </c>
      <c r="T77" s="37" t="str">
        <f t="shared" si="52"/>
        <v/>
      </c>
      <c r="U77" s="37" t="str">
        <f t="shared" si="52"/>
        <v/>
      </c>
      <c r="V77" s="37" t="str">
        <f t="shared" si="52"/>
        <v/>
      </c>
      <c r="W77" s="37" t="str">
        <f t="shared" si="52"/>
        <v/>
      </c>
      <c r="X77" s="37" t="str">
        <f t="shared" si="52"/>
        <v/>
      </c>
      <c r="Y77" s="37" t="str">
        <f t="shared" si="52"/>
        <v/>
      </c>
      <c r="Z77" s="37" t="str">
        <f t="shared" si="52"/>
        <v/>
      </c>
      <c r="AA77" s="37" t="str">
        <f t="shared" si="52"/>
        <v/>
      </c>
      <c r="AB77" s="37" t="str">
        <f t="shared" si="52"/>
        <v/>
      </c>
      <c r="AC77" s="37" t="str">
        <f t="shared" si="52"/>
        <v/>
      </c>
      <c r="AD77" s="37" t="str">
        <f t="shared" si="52"/>
        <v/>
      </c>
      <c r="AE77" s="37" t="str">
        <f t="shared" si="52"/>
        <v/>
      </c>
      <c r="AF77" s="37" t="str">
        <f t="shared" si="52"/>
        <v/>
      </c>
      <c r="AG77" s="37" t="str">
        <f t="shared" si="52"/>
        <v/>
      </c>
      <c r="AH77" s="37" t="str">
        <f t="shared" si="52"/>
        <v/>
      </c>
      <c r="AI77" s="37" t="str">
        <f t="shared" si="52"/>
        <v/>
      </c>
      <c r="AJ77" s="37" t="str">
        <f t="shared" si="52"/>
        <v/>
      </c>
      <c r="AK77" s="37" t="str">
        <f t="shared" si="52"/>
        <v/>
      </c>
      <c r="AL77" s="37" t="str">
        <f t="shared" si="52"/>
        <v/>
      </c>
      <c r="AM77" s="37" t="str">
        <f t="shared" si="52"/>
        <v/>
      </c>
      <c r="AN77" s="37" t="str">
        <f t="shared" si="52"/>
        <v/>
      </c>
      <c r="AO77" s="37" t="str">
        <f t="shared" si="52"/>
        <v/>
      </c>
      <c r="AP77" s="37" t="str">
        <f t="shared" si="52"/>
        <v/>
      </c>
      <c r="AQ77" s="37" t="str">
        <f t="shared" ref="AQ77:BH77" si="53">IF(AND($J77&lt;&gt;"",AQ$6=$G77),"◆","")</f>
        <v/>
      </c>
      <c r="AR77" s="37" t="str">
        <f t="shared" si="53"/>
        <v/>
      </c>
      <c r="AS77" s="37" t="str">
        <f t="shared" si="53"/>
        <v/>
      </c>
      <c r="AT77" s="37" t="str">
        <f t="shared" si="53"/>
        <v/>
      </c>
      <c r="AU77" s="37" t="str">
        <f t="shared" si="53"/>
        <v/>
      </c>
      <c r="AV77" s="37" t="str">
        <f t="shared" si="53"/>
        <v/>
      </c>
      <c r="AW77" s="37" t="str">
        <f t="shared" si="53"/>
        <v/>
      </c>
      <c r="AX77" s="37" t="str">
        <f t="shared" si="53"/>
        <v/>
      </c>
      <c r="AY77" s="37" t="str">
        <f t="shared" si="53"/>
        <v/>
      </c>
      <c r="AZ77" s="37" t="str">
        <f t="shared" si="53"/>
        <v/>
      </c>
      <c r="BA77" s="37" t="str">
        <f t="shared" si="53"/>
        <v/>
      </c>
      <c r="BB77" s="37" t="str">
        <f t="shared" si="53"/>
        <v/>
      </c>
      <c r="BC77" s="37" t="str">
        <f t="shared" si="53"/>
        <v/>
      </c>
      <c r="BD77" s="37" t="str">
        <f t="shared" si="53"/>
        <v/>
      </c>
      <c r="BE77" s="37" t="str">
        <f t="shared" si="53"/>
        <v/>
      </c>
      <c r="BF77" s="37" t="str">
        <f t="shared" si="53"/>
        <v/>
      </c>
      <c r="BG77" s="37" t="str">
        <f t="shared" si="53"/>
        <v/>
      </c>
      <c r="BH77" s="37" t="str">
        <f t="shared" si="53"/>
        <v/>
      </c>
    </row>
    <row r="78" spans="1:60" x14ac:dyDescent="0.2">
      <c r="A78" s="25" t="s">
        <v>104</v>
      </c>
      <c r="B78" s="26" t="s">
        <v>29</v>
      </c>
      <c r="C78" s="25" t="s">
        <v>30</v>
      </c>
      <c r="D78" s="25" t="str">
        <f>D77</f>
        <v>Parallel</v>
      </c>
      <c r="E78" s="27"/>
      <c r="F78" s="27"/>
      <c r="G78" s="27"/>
      <c r="H78" s="28" t="str">
        <f>IF(OR(F78="",G78=""),"",G78-F78+1)</f>
        <v/>
      </c>
      <c r="I78" s="29" t="str">
        <f>IF(G78="","",G78-G77)</f>
        <v/>
      </c>
      <c r="J78" s="2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row>
    <row r="79" spans="1:60" x14ac:dyDescent="0.2">
      <c r="A79" s="18" t="s">
        <v>106</v>
      </c>
      <c r="B79" s="19" t="s">
        <v>107</v>
      </c>
      <c r="C79" s="20" t="s">
        <v>27</v>
      </c>
      <c r="D79" s="21" t="s">
        <v>87</v>
      </c>
      <c r="E79" s="22">
        <v>4</v>
      </c>
      <c r="F79" s="22">
        <v>20</v>
      </c>
      <c r="G79" s="22">
        <v>20</v>
      </c>
      <c r="H79" s="23">
        <f>G79-F79+1</f>
        <v>1</v>
      </c>
      <c r="I79" s="23"/>
      <c r="J79" s="21" t="s">
        <v>108</v>
      </c>
      <c r="K79" s="24" t="str">
        <f t="shared" ref="K79:AP79" si="54">IF(AND($J79&lt;&gt;"",K$6=$G79),"◆","")</f>
        <v/>
      </c>
      <c r="L79" s="24" t="str">
        <f t="shared" si="54"/>
        <v/>
      </c>
      <c r="M79" s="24" t="str">
        <f t="shared" si="54"/>
        <v/>
      </c>
      <c r="N79" s="24" t="str">
        <f t="shared" si="54"/>
        <v/>
      </c>
      <c r="O79" s="24" t="str">
        <f t="shared" si="54"/>
        <v/>
      </c>
      <c r="P79" s="24" t="str">
        <f t="shared" si="54"/>
        <v/>
      </c>
      <c r="Q79" s="24" t="str">
        <f t="shared" si="54"/>
        <v/>
      </c>
      <c r="R79" s="24" t="str">
        <f t="shared" si="54"/>
        <v/>
      </c>
      <c r="S79" s="24" t="str">
        <f t="shared" si="54"/>
        <v/>
      </c>
      <c r="T79" s="24" t="str">
        <f t="shared" si="54"/>
        <v/>
      </c>
      <c r="U79" s="24" t="str">
        <f t="shared" si="54"/>
        <v/>
      </c>
      <c r="V79" s="24" t="str">
        <f t="shared" si="54"/>
        <v/>
      </c>
      <c r="W79" s="24" t="str">
        <f t="shared" si="54"/>
        <v/>
      </c>
      <c r="X79" s="24" t="str">
        <f t="shared" si="54"/>
        <v/>
      </c>
      <c r="Y79" s="24" t="str">
        <f t="shared" si="54"/>
        <v/>
      </c>
      <c r="Z79" s="24" t="str">
        <f t="shared" si="54"/>
        <v/>
      </c>
      <c r="AA79" s="24" t="str">
        <f t="shared" si="54"/>
        <v/>
      </c>
      <c r="AB79" s="24" t="str">
        <f t="shared" si="54"/>
        <v/>
      </c>
      <c r="AC79" s="24" t="str">
        <f t="shared" si="54"/>
        <v/>
      </c>
      <c r="AD79" s="24" t="str">
        <f t="shared" si="54"/>
        <v>◆</v>
      </c>
      <c r="AE79" s="24" t="str">
        <f t="shared" si="54"/>
        <v/>
      </c>
      <c r="AF79" s="24" t="str">
        <f t="shared" si="54"/>
        <v/>
      </c>
      <c r="AG79" s="24" t="str">
        <f t="shared" si="54"/>
        <v/>
      </c>
      <c r="AH79" s="24" t="str">
        <f t="shared" si="54"/>
        <v/>
      </c>
      <c r="AI79" s="24" t="str">
        <f t="shared" si="54"/>
        <v/>
      </c>
      <c r="AJ79" s="24" t="str">
        <f t="shared" si="54"/>
        <v/>
      </c>
      <c r="AK79" s="24" t="str">
        <f t="shared" si="54"/>
        <v/>
      </c>
      <c r="AL79" s="24" t="str">
        <f t="shared" si="54"/>
        <v/>
      </c>
      <c r="AM79" s="24" t="str">
        <f t="shared" si="54"/>
        <v/>
      </c>
      <c r="AN79" s="24" t="str">
        <f t="shared" si="54"/>
        <v/>
      </c>
      <c r="AO79" s="24" t="str">
        <f t="shared" si="54"/>
        <v/>
      </c>
      <c r="AP79" s="24" t="str">
        <f t="shared" si="54"/>
        <v/>
      </c>
      <c r="AQ79" s="24" t="str">
        <f t="shared" ref="AQ79:BH79" si="55">IF(AND($J79&lt;&gt;"",AQ$6=$G79),"◆","")</f>
        <v/>
      </c>
      <c r="AR79" s="24" t="str">
        <f t="shared" si="55"/>
        <v/>
      </c>
      <c r="AS79" s="24" t="str">
        <f t="shared" si="55"/>
        <v/>
      </c>
      <c r="AT79" s="24" t="str">
        <f t="shared" si="55"/>
        <v/>
      </c>
      <c r="AU79" s="24" t="str">
        <f t="shared" si="55"/>
        <v/>
      </c>
      <c r="AV79" s="24" t="str">
        <f t="shared" si="55"/>
        <v/>
      </c>
      <c r="AW79" s="24" t="str">
        <f t="shared" si="55"/>
        <v/>
      </c>
      <c r="AX79" s="24" t="str">
        <f t="shared" si="55"/>
        <v/>
      </c>
      <c r="AY79" s="24" t="str">
        <f t="shared" si="55"/>
        <v/>
      </c>
      <c r="AZ79" s="24" t="str">
        <f t="shared" si="55"/>
        <v/>
      </c>
      <c r="BA79" s="24" t="str">
        <f t="shared" si="55"/>
        <v/>
      </c>
      <c r="BB79" s="24" t="str">
        <f t="shared" si="55"/>
        <v/>
      </c>
      <c r="BC79" s="24" t="str">
        <f t="shared" si="55"/>
        <v/>
      </c>
      <c r="BD79" s="24" t="str">
        <f t="shared" si="55"/>
        <v/>
      </c>
      <c r="BE79" s="24" t="str">
        <f t="shared" si="55"/>
        <v/>
      </c>
      <c r="BF79" s="24" t="str">
        <f t="shared" si="55"/>
        <v/>
      </c>
      <c r="BG79" s="24" t="str">
        <f t="shared" si="55"/>
        <v/>
      </c>
      <c r="BH79" s="24" t="str">
        <f t="shared" si="55"/>
        <v/>
      </c>
    </row>
    <row r="80" spans="1:60" x14ac:dyDescent="0.2">
      <c r="A80" s="25" t="s">
        <v>106</v>
      </c>
      <c r="B80" s="26" t="s">
        <v>29</v>
      </c>
      <c r="C80" s="25" t="s">
        <v>30</v>
      </c>
      <c r="D80" s="25" t="str">
        <f>D79</f>
        <v>Parallel</v>
      </c>
      <c r="E80" s="27"/>
      <c r="F80" s="27"/>
      <c r="G80" s="27"/>
      <c r="H80" s="28" t="str">
        <f>IF(OR(F80="",G80=""),"",G80-F80+1)</f>
        <v/>
      </c>
      <c r="I80" s="29" t="str">
        <f>IF(G80="","",G80-G79)</f>
        <v/>
      </c>
      <c r="J80" s="2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row>
    <row r="81" spans="1:60" x14ac:dyDescent="0.2">
      <c r="A81" s="10" t="s">
        <v>109</v>
      </c>
      <c r="B81" s="11" t="s">
        <v>110</v>
      </c>
      <c r="C81" s="10" t="s">
        <v>27</v>
      </c>
      <c r="D81" s="10" t="s">
        <v>28</v>
      </c>
      <c r="E81" s="10">
        <f>SUMIFS(E83:E88,C83:C88,"Plan")</f>
        <v>20</v>
      </c>
      <c r="F81" s="10">
        <f>_xlfn.MINIFS(F83:F88,C83:C88,"Plan")</f>
        <v>31</v>
      </c>
      <c r="G81" s="10">
        <f>_xlfn.MAXIFS(G83:G88,C83:C88,"Plan")</f>
        <v>40</v>
      </c>
      <c r="H81" s="10">
        <f>G81-F81+1</f>
        <v>10</v>
      </c>
      <c r="I81" s="10"/>
      <c r="J81" s="10"/>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row>
    <row r="82" spans="1:60" x14ac:dyDescent="0.2">
      <c r="A82" s="13" t="s">
        <v>109</v>
      </c>
      <c r="B82" s="14" t="s">
        <v>29</v>
      </c>
      <c r="C82" s="13" t="s">
        <v>30</v>
      </c>
      <c r="D82" s="13" t="s">
        <v>28</v>
      </c>
      <c r="E82" s="15">
        <f>SUMIFS(E83:E88,C83:C88,"Actual")</f>
        <v>0</v>
      </c>
      <c r="F82" s="13" t="str">
        <f>IF(COUNTIFS(C83:C88,"Actual",F83:F88,"&lt;&gt;")=0,"",_xlfn.MINIFS(F83:F88,C83:C88,"Actual"))</f>
        <v/>
      </c>
      <c r="G82" s="13" t="str">
        <f>IF(COUNTIFS(C83:C88,"Actual",G83:G88,"")&gt;0,"",_xlfn.MAXIFS(G83:G88,C83:C88,"Actual"))</f>
        <v/>
      </c>
      <c r="H82" s="13" t="str">
        <f>IF(OR(F82="",G82=""),"",G82-F82+1)</f>
        <v/>
      </c>
      <c r="I82" s="16" t="str">
        <f>IF(G82="","",G82-G81)</f>
        <v/>
      </c>
      <c r="J82" s="13"/>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row>
    <row r="83" spans="1:60" x14ac:dyDescent="0.2">
      <c r="A83" s="18" t="s">
        <v>111</v>
      </c>
      <c r="B83" s="19" t="s">
        <v>112</v>
      </c>
      <c r="C83" s="20" t="s">
        <v>27</v>
      </c>
      <c r="D83" s="21" t="s">
        <v>87</v>
      </c>
      <c r="E83" s="22">
        <v>8</v>
      </c>
      <c r="F83" s="22">
        <v>31</v>
      </c>
      <c r="G83" s="22">
        <v>34</v>
      </c>
      <c r="H83" s="23">
        <f>G83-F83+1</f>
        <v>4</v>
      </c>
      <c r="I83" s="23"/>
      <c r="J83" s="21"/>
      <c r="K83" s="24" t="str">
        <f t="shared" ref="K83:AP83" si="56">IF(AND($J83&lt;&gt;"",K$6=$G83),"◆","")</f>
        <v/>
      </c>
      <c r="L83" s="24" t="str">
        <f t="shared" si="56"/>
        <v/>
      </c>
      <c r="M83" s="24" t="str">
        <f t="shared" si="56"/>
        <v/>
      </c>
      <c r="N83" s="24" t="str">
        <f t="shared" si="56"/>
        <v/>
      </c>
      <c r="O83" s="24" t="str">
        <f t="shared" si="56"/>
        <v/>
      </c>
      <c r="P83" s="24" t="str">
        <f t="shared" si="56"/>
        <v/>
      </c>
      <c r="Q83" s="24" t="str">
        <f t="shared" si="56"/>
        <v/>
      </c>
      <c r="R83" s="24" t="str">
        <f t="shared" si="56"/>
        <v/>
      </c>
      <c r="S83" s="24" t="str">
        <f t="shared" si="56"/>
        <v/>
      </c>
      <c r="T83" s="24" t="str">
        <f t="shared" si="56"/>
        <v/>
      </c>
      <c r="U83" s="24" t="str">
        <f t="shared" si="56"/>
        <v/>
      </c>
      <c r="V83" s="24" t="str">
        <f t="shared" si="56"/>
        <v/>
      </c>
      <c r="W83" s="24" t="str">
        <f t="shared" si="56"/>
        <v/>
      </c>
      <c r="X83" s="24" t="str">
        <f t="shared" si="56"/>
        <v/>
      </c>
      <c r="Y83" s="24" t="str">
        <f t="shared" si="56"/>
        <v/>
      </c>
      <c r="Z83" s="24" t="str">
        <f t="shared" si="56"/>
        <v/>
      </c>
      <c r="AA83" s="24" t="str">
        <f t="shared" si="56"/>
        <v/>
      </c>
      <c r="AB83" s="24" t="str">
        <f t="shared" si="56"/>
        <v/>
      </c>
      <c r="AC83" s="24" t="str">
        <f t="shared" si="56"/>
        <v/>
      </c>
      <c r="AD83" s="24" t="str">
        <f t="shared" si="56"/>
        <v/>
      </c>
      <c r="AE83" s="24" t="str">
        <f t="shared" si="56"/>
        <v/>
      </c>
      <c r="AF83" s="24" t="str">
        <f t="shared" si="56"/>
        <v/>
      </c>
      <c r="AG83" s="24" t="str">
        <f t="shared" si="56"/>
        <v/>
      </c>
      <c r="AH83" s="24" t="str">
        <f t="shared" si="56"/>
        <v/>
      </c>
      <c r="AI83" s="24" t="str">
        <f t="shared" si="56"/>
        <v/>
      </c>
      <c r="AJ83" s="24" t="str">
        <f t="shared" si="56"/>
        <v/>
      </c>
      <c r="AK83" s="24" t="str">
        <f t="shared" si="56"/>
        <v/>
      </c>
      <c r="AL83" s="24" t="str">
        <f t="shared" si="56"/>
        <v/>
      </c>
      <c r="AM83" s="24" t="str">
        <f t="shared" si="56"/>
        <v/>
      </c>
      <c r="AN83" s="24" t="str">
        <f t="shared" si="56"/>
        <v/>
      </c>
      <c r="AO83" s="24" t="str">
        <f t="shared" si="56"/>
        <v/>
      </c>
      <c r="AP83" s="24" t="str">
        <f t="shared" si="56"/>
        <v/>
      </c>
      <c r="AQ83" s="24" t="str">
        <f t="shared" ref="AQ83:BH83" si="57">IF(AND($J83&lt;&gt;"",AQ$6=$G83),"◆","")</f>
        <v/>
      </c>
      <c r="AR83" s="24" t="str">
        <f t="shared" si="57"/>
        <v/>
      </c>
      <c r="AS83" s="24" t="str">
        <f t="shared" si="57"/>
        <v/>
      </c>
      <c r="AT83" s="24" t="str">
        <f t="shared" si="57"/>
        <v/>
      </c>
      <c r="AU83" s="24" t="str">
        <f t="shared" si="57"/>
        <v/>
      </c>
      <c r="AV83" s="24" t="str">
        <f t="shared" si="57"/>
        <v/>
      </c>
      <c r="AW83" s="24" t="str">
        <f t="shared" si="57"/>
        <v/>
      </c>
      <c r="AX83" s="24" t="str">
        <f t="shared" si="57"/>
        <v/>
      </c>
      <c r="AY83" s="24" t="str">
        <f t="shared" si="57"/>
        <v/>
      </c>
      <c r="AZ83" s="24" t="str">
        <f t="shared" si="57"/>
        <v/>
      </c>
      <c r="BA83" s="24" t="str">
        <f t="shared" si="57"/>
        <v/>
      </c>
      <c r="BB83" s="24" t="str">
        <f t="shared" si="57"/>
        <v/>
      </c>
      <c r="BC83" s="24" t="str">
        <f t="shared" si="57"/>
        <v/>
      </c>
      <c r="BD83" s="24" t="str">
        <f t="shared" si="57"/>
        <v/>
      </c>
      <c r="BE83" s="24" t="str">
        <f t="shared" si="57"/>
        <v/>
      </c>
      <c r="BF83" s="24" t="str">
        <f t="shared" si="57"/>
        <v/>
      </c>
      <c r="BG83" s="24" t="str">
        <f t="shared" si="57"/>
        <v/>
      </c>
      <c r="BH83" s="24" t="str">
        <f t="shared" si="57"/>
        <v/>
      </c>
    </row>
    <row r="84" spans="1:60" x14ac:dyDescent="0.2">
      <c r="A84" s="25" t="s">
        <v>111</v>
      </c>
      <c r="B84" s="26" t="s">
        <v>29</v>
      </c>
      <c r="C84" s="25" t="s">
        <v>30</v>
      </c>
      <c r="D84" s="25" t="str">
        <f>D83</f>
        <v>Parallel</v>
      </c>
      <c r="E84" s="27"/>
      <c r="F84" s="27"/>
      <c r="G84" s="27"/>
      <c r="H84" s="28" t="str">
        <f>IF(OR(F84="",G84=""),"",G84-F84+1)</f>
        <v/>
      </c>
      <c r="I84" s="29" t="str">
        <f>IF(G84="","",G84-G83)</f>
        <v/>
      </c>
      <c r="J84" s="28"/>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row>
    <row r="85" spans="1:60" x14ac:dyDescent="0.2">
      <c r="A85" s="31" t="s">
        <v>113</v>
      </c>
      <c r="B85" s="32" t="s">
        <v>114</v>
      </c>
      <c r="C85" s="33" t="s">
        <v>27</v>
      </c>
      <c r="D85" s="34" t="s">
        <v>87</v>
      </c>
      <c r="E85" s="35">
        <v>8</v>
      </c>
      <c r="F85" s="35">
        <v>35</v>
      </c>
      <c r="G85" s="35">
        <v>38</v>
      </c>
      <c r="H85" s="36">
        <f>G85-F85+1</f>
        <v>4</v>
      </c>
      <c r="I85" s="36"/>
      <c r="J85" s="34"/>
      <c r="K85" s="37" t="str">
        <f t="shared" ref="K85:AP85" si="58">IF(AND($J85&lt;&gt;"",K$6=$G85),"◆","")</f>
        <v/>
      </c>
      <c r="L85" s="37" t="str">
        <f t="shared" si="58"/>
        <v/>
      </c>
      <c r="M85" s="37" t="str">
        <f t="shared" si="58"/>
        <v/>
      </c>
      <c r="N85" s="37" t="str">
        <f t="shared" si="58"/>
        <v/>
      </c>
      <c r="O85" s="37" t="str">
        <f t="shared" si="58"/>
        <v/>
      </c>
      <c r="P85" s="37" t="str">
        <f t="shared" si="58"/>
        <v/>
      </c>
      <c r="Q85" s="37" t="str">
        <f t="shared" si="58"/>
        <v/>
      </c>
      <c r="R85" s="37" t="str">
        <f t="shared" si="58"/>
        <v/>
      </c>
      <c r="S85" s="37" t="str">
        <f t="shared" si="58"/>
        <v/>
      </c>
      <c r="T85" s="37" t="str">
        <f t="shared" si="58"/>
        <v/>
      </c>
      <c r="U85" s="37" t="str">
        <f t="shared" si="58"/>
        <v/>
      </c>
      <c r="V85" s="37" t="str">
        <f t="shared" si="58"/>
        <v/>
      </c>
      <c r="W85" s="37" t="str">
        <f t="shared" si="58"/>
        <v/>
      </c>
      <c r="X85" s="37" t="str">
        <f t="shared" si="58"/>
        <v/>
      </c>
      <c r="Y85" s="37" t="str">
        <f t="shared" si="58"/>
        <v/>
      </c>
      <c r="Z85" s="37" t="str">
        <f t="shared" si="58"/>
        <v/>
      </c>
      <c r="AA85" s="37" t="str">
        <f t="shared" si="58"/>
        <v/>
      </c>
      <c r="AB85" s="37" t="str">
        <f t="shared" si="58"/>
        <v/>
      </c>
      <c r="AC85" s="37" t="str">
        <f t="shared" si="58"/>
        <v/>
      </c>
      <c r="AD85" s="37" t="str">
        <f t="shared" si="58"/>
        <v/>
      </c>
      <c r="AE85" s="37" t="str">
        <f t="shared" si="58"/>
        <v/>
      </c>
      <c r="AF85" s="37" t="str">
        <f t="shared" si="58"/>
        <v/>
      </c>
      <c r="AG85" s="37" t="str">
        <f t="shared" si="58"/>
        <v/>
      </c>
      <c r="AH85" s="37" t="str">
        <f t="shared" si="58"/>
        <v/>
      </c>
      <c r="AI85" s="37" t="str">
        <f t="shared" si="58"/>
        <v/>
      </c>
      <c r="AJ85" s="37" t="str">
        <f t="shared" si="58"/>
        <v/>
      </c>
      <c r="AK85" s="37" t="str">
        <f t="shared" si="58"/>
        <v/>
      </c>
      <c r="AL85" s="37" t="str">
        <f t="shared" si="58"/>
        <v/>
      </c>
      <c r="AM85" s="37" t="str">
        <f t="shared" si="58"/>
        <v/>
      </c>
      <c r="AN85" s="37" t="str">
        <f t="shared" si="58"/>
        <v/>
      </c>
      <c r="AO85" s="37" t="str">
        <f t="shared" si="58"/>
        <v/>
      </c>
      <c r="AP85" s="37" t="str">
        <f t="shared" si="58"/>
        <v/>
      </c>
      <c r="AQ85" s="37" t="str">
        <f t="shared" ref="AQ85:BH85" si="59">IF(AND($J85&lt;&gt;"",AQ$6=$G85),"◆","")</f>
        <v/>
      </c>
      <c r="AR85" s="37" t="str">
        <f t="shared" si="59"/>
        <v/>
      </c>
      <c r="AS85" s="37" t="str">
        <f t="shared" si="59"/>
        <v/>
      </c>
      <c r="AT85" s="37" t="str">
        <f t="shared" si="59"/>
        <v/>
      </c>
      <c r="AU85" s="37" t="str">
        <f t="shared" si="59"/>
        <v/>
      </c>
      <c r="AV85" s="37" t="str">
        <f t="shared" si="59"/>
        <v/>
      </c>
      <c r="AW85" s="37" t="str">
        <f t="shared" si="59"/>
        <v/>
      </c>
      <c r="AX85" s="37" t="str">
        <f t="shared" si="59"/>
        <v/>
      </c>
      <c r="AY85" s="37" t="str">
        <f t="shared" si="59"/>
        <v/>
      </c>
      <c r="AZ85" s="37" t="str">
        <f t="shared" si="59"/>
        <v/>
      </c>
      <c r="BA85" s="37" t="str">
        <f t="shared" si="59"/>
        <v/>
      </c>
      <c r="BB85" s="37" t="str">
        <f t="shared" si="59"/>
        <v/>
      </c>
      <c r="BC85" s="37" t="str">
        <f t="shared" si="59"/>
        <v/>
      </c>
      <c r="BD85" s="37" t="str">
        <f t="shared" si="59"/>
        <v/>
      </c>
      <c r="BE85" s="37" t="str">
        <f t="shared" si="59"/>
        <v/>
      </c>
      <c r="BF85" s="37" t="str">
        <f t="shared" si="59"/>
        <v/>
      </c>
      <c r="BG85" s="37" t="str">
        <f t="shared" si="59"/>
        <v/>
      </c>
      <c r="BH85" s="37" t="str">
        <f t="shared" si="59"/>
        <v/>
      </c>
    </row>
    <row r="86" spans="1:60" x14ac:dyDescent="0.2">
      <c r="A86" s="25" t="s">
        <v>113</v>
      </c>
      <c r="B86" s="26" t="s">
        <v>29</v>
      </c>
      <c r="C86" s="25" t="s">
        <v>30</v>
      </c>
      <c r="D86" s="25" t="str">
        <f>D85</f>
        <v>Parallel</v>
      </c>
      <c r="E86" s="27"/>
      <c r="F86" s="27"/>
      <c r="G86" s="27"/>
      <c r="H86" s="28" t="str">
        <f>IF(OR(F86="",G86=""),"",G86-F86+1)</f>
        <v/>
      </c>
      <c r="I86" s="29" t="str">
        <f>IF(G86="","",G86-G85)</f>
        <v/>
      </c>
      <c r="J86" s="28"/>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row>
    <row r="87" spans="1:60" x14ac:dyDescent="0.2">
      <c r="A87" s="18" t="s">
        <v>115</v>
      </c>
      <c r="B87" s="19" t="s">
        <v>116</v>
      </c>
      <c r="C87" s="20" t="s">
        <v>27</v>
      </c>
      <c r="D87" s="21" t="s">
        <v>87</v>
      </c>
      <c r="E87" s="22">
        <v>4</v>
      </c>
      <c r="F87" s="22">
        <v>39</v>
      </c>
      <c r="G87" s="22">
        <v>40</v>
      </c>
      <c r="H87" s="23">
        <f>G87-F87+1</f>
        <v>2</v>
      </c>
      <c r="I87" s="23"/>
      <c r="J87" s="21"/>
      <c r="K87" s="24" t="str">
        <f t="shared" ref="K87:AP87" si="60">IF(AND($J87&lt;&gt;"",K$6=$G87),"◆","")</f>
        <v/>
      </c>
      <c r="L87" s="24" t="str">
        <f t="shared" si="60"/>
        <v/>
      </c>
      <c r="M87" s="24" t="str">
        <f t="shared" si="60"/>
        <v/>
      </c>
      <c r="N87" s="24" t="str">
        <f t="shared" si="60"/>
        <v/>
      </c>
      <c r="O87" s="24" t="str">
        <f t="shared" si="60"/>
        <v/>
      </c>
      <c r="P87" s="24" t="str">
        <f t="shared" si="60"/>
        <v/>
      </c>
      <c r="Q87" s="24" t="str">
        <f t="shared" si="60"/>
        <v/>
      </c>
      <c r="R87" s="24" t="str">
        <f t="shared" si="60"/>
        <v/>
      </c>
      <c r="S87" s="24" t="str">
        <f t="shared" si="60"/>
        <v/>
      </c>
      <c r="T87" s="24" t="str">
        <f t="shared" si="60"/>
        <v/>
      </c>
      <c r="U87" s="24" t="str">
        <f t="shared" si="60"/>
        <v/>
      </c>
      <c r="V87" s="24" t="str">
        <f t="shared" si="60"/>
        <v/>
      </c>
      <c r="W87" s="24" t="str">
        <f t="shared" si="60"/>
        <v/>
      </c>
      <c r="X87" s="24" t="str">
        <f t="shared" si="60"/>
        <v/>
      </c>
      <c r="Y87" s="24" t="str">
        <f t="shared" si="60"/>
        <v/>
      </c>
      <c r="Z87" s="24" t="str">
        <f t="shared" si="60"/>
        <v/>
      </c>
      <c r="AA87" s="24" t="str">
        <f t="shared" si="60"/>
        <v/>
      </c>
      <c r="AB87" s="24" t="str">
        <f t="shared" si="60"/>
        <v/>
      </c>
      <c r="AC87" s="24" t="str">
        <f t="shared" si="60"/>
        <v/>
      </c>
      <c r="AD87" s="24" t="str">
        <f t="shared" si="60"/>
        <v/>
      </c>
      <c r="AE87" s="24" t="str">
        <f t="shared" si="60"/>
        <v/>
      </c>
      <c r="AF87" s="24" t="str">
        <f t="shared" si="60"/>
        <v/>
      </c>
      <c r="AG87" s="24" t="str">
        <f t="shared" si="60"/>
        <v/>
      </c>
      <c r="AH87" s="24" t="str">
        <f t="shared" si="60"/>
        <v/>
      </c>
      <c r="AI87" s="24" t="str">
        <f t="shared" si="60"/>
        <v/>
      </c>
      <c r="AJ87" s="24" t="str">
        <f t="shared" si="60"/>
        <v/>
      </c>
      <c r="AK87" s="24" t="str">
        <f t="shared" si="60"/>
        <v/>
      </c>
      <c r="AL87" s="24" t="str">
        <f t="shared" si="60"/>
        <v/>
      </c>
      <c r="AM87" s="24" t="str">
        <f t="shared" si="60"/>
        <v/>
      </c>
      <c r="AN87" s="24" t="str">
        <f t="shared" si="60"/>
        <v/>
      </c>
      <c r="AO87" s="24" t="str">
        <f t="shared" si="60"/>
        <v/>
      </c>
      <c r="AP87" s="24" t="str">
        <f t="shared" si="60"/>
        <v/>
      </c>
      <c r="AQ87" s="24" t="str">
        <f t="shared" ref="AQ87:BH87" si="61">IF(AND($J87&lt;&gt;"",AQ$6=$G87),"◆","")</f>
        <v/>
      </c>
      <c r="AR87" s="24" t="str">
        <f t="shared" si="61"/>
        <v/>
      </c>
      <c r="AS87" s="24" t="str">
        <f t="shared" si="61"/>
        <v/>
      </c>
      <c r="AT87" s="24" t="str">
        <f t="shared" si="61"/>
        <v/>
      </c>
      <c r="AU87" s="24" t="str">
        <f t="shared" si="61"/>
        <v/>
      </c>
      <c r="AV87" s="24" t="str">
        <f t="shared" si="61"/>
        <v/>
      </c>
      <c r="AW87" s="24" t="str">
        <f t="shared" si="61"/>
        <v/>
      </c>
      <c r="AX87" s="24" t="str">
        <f t="shared" si="61"/>
        <v/>
      </c>
      <c r="AY87" s="24" t="str">
        <f t="shared" si="61"/>
        <v/>
      </c>
      <c r="AZ87" s="24" t="str">
        <f t="shared" si="61"/>
        <v/>
      </c>
      <c r="BA87" s="24" t="str">
        <f t="shared" si="61"/>
        <v/>
      </c>
      <c r="BB87" s="24" t="str">
        <f t="shared" si="61"/>
        <v/>
      </c>
      <c r="BC87" s="24" t="str">
        <f t="shared" si="61"/>
        <v/>
      </c>
      <c r="BD87" s="24" t="str">
        <f t="shared" si="61"/>
        <v/>
      </c>
      <c r="BE87" s="24" t="str">
        <f t="shared" si="61"/>
        <v/>
      </c>
      <c r="BF87" s="24" t="str">
        <f t="shared" si="61"/>
        <v/>
      </c>
      <c r="BG87" s="24" t="str">
        <f t="shared" si="61"/>
        <v/>
      </c>
      <c r="BH87" s="24" t="str">
        <f t="shared" si="61"/>
        <v/>
      </c>
    </row>
    <row r="88" spans="1:60" x14ac:dyDescent="0.2">
      <c r="A88" s="25" t="s">
        <v>115</v>
      </c>
      <c r="B88" s="26" t="s">
        <v>29</v>
      </c>
      <c r="C88" s="25" t="s">
        <v>30</v>
      </c>
      <c r="D88" s="25" t="str">
        <f>D87</f>
        <v>Parallel</v>
      </c>
      <c r="E88" s="27"/>
      <c r="F88" s="27"/>
      <c r="G88" s="27"/>
      <c r="H88" s="28" t="str">
        <f>IF(OR(F88="",G88=""),"",G88-F88+1)</f>
        <v/>
      </c>
      <c r="I88" s="29" t="str">
        <f>IF(G88="","",G88-G87)</f>
        <v/>
      </c>
      <c r="J88" s="28"/>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row>
    <row r="89" spans="1:60" x14ac:dyDescent="0.2">
      <c r="A89" s="8"/>
      <c r="B89" s="9" t="s">
        <v>117</v>
      </c>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row>
    <row r="90" spans="1:60" x14ac:dyDescent="0.2">
      <c r="A90" s="10" t="s">
        <v>118</v>
      </c>
      <c r="B90" s="11" t="s">
        <v>119</v>
      </c>
      <c r="C90" s="10" t="s">
        <v>27</v>
      </c>
      <c r="D90" s="10" t="s">
        <v>28</v>
      </c>
      <c r="E90" s="10">
        <f>SUMIFS(E92:E99,C92:C99,"Plan")</f>
        <v>25</v>
      </c>
      <c r="F90" s="10">
        <f>_xlfn.MINIFS(F92:F99,C92:C99,"Plan")</f>
        <v>36</v>
      </c>
      <c r="G90" s="10">
        <f>_xlfn.MAXIFS(G92:G99,C92:C99,"Plan")</f>
        <v>50</v>
      </c>
      <c r="H90" s="10">
        <f>G90-F90+1</f>
        <v>15</v>
      </c>
      <c r="I90" s="10"/>
      <c r="J90" s="10"/>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row>
    <row r="91" spans="1:60" x14ac:dyDescent="0.2">
      <c r="A91" s="13" t="s">
        <v>118</v>
      </c>
      <c r="B91" s="14" t="s">
        <v>29</v>
      </c>
      <c r="C91" s="13" t="s">
        <v>30</v>
      </c>
      <c r="D91" s="13" t="s">
        <v>28</v>
      </c>
      <c r="E91" s="15">
        <f>SUMIFS(E92:E99,C92:C99,"Actual")</f>
        <v>0</v>
      </c>
      <c r="F91" s="13" t="str">
        <f>IF(COUNTIFS(C92:C99,"Actual",F92:F99,"&lt;&gt;")=0,"",_xlfn.MINIFS(F92:F99,C92:C99,"Actual"))</f>
        <v/>
      </c>
      <c r="G91" s="13" t="str">
        <f>IF(COUNTIFS(C92:C99,"Actual",G92:G99,"")&gt;0,"",_xlfn.MAXIFS(G92:G99,C92:C99,"Actual"))</f>
        <v/>
      </c>
      <c r="H91" s="13" t="str">
        <f>IF(OR(F91="",G91=""),"",G91-F91+1)</f>
        <v/>
      </c>
      <c r="I91" s="16" t="str">
        <f>IF(G91="","",G91-G90)</f>
        <v/>
      </c>
      <c r="J91" s="13"/>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row>
    <row r="92" spans="1:60" x14ac:dyDescent="0.2">
      <c r="A92" s="18" t="s">
        <v>120</v>
      </c>
      <c r="B92" s="19" t="s">
        <v>121</v>
      </c>
      <c r="C92" s="20" t="s">
        <v>27</v>
      </c>
      <c r="D92" s="21" t="s">
        <v>33</v>
      </c>
      <c r="E92" s="22">
        <v>6</v>
      </c>
      <c r="F92" s="22">
        <v>36</v>
      </c>
      <c r="G92" s="22">
        <v>39</v>
      </c>
      <c r="H92" s="23">
        <f>G92-F92+1</f>
        <v>4</v>
      </c>
      <c r="I92" s="23"/>
      <c r="J92" s="21"/>
      <c r="K92" s="24" t="str">
        <f t="shared" ref="K92:AP92" si="62">IF(AND($J92&lt;&gt;"",K$6=$G92),"◆","")</f>
        <v/>
      </c>
      <c r="L92" s="24" t="str">
        <f t="shared" si="62"/>
        <v/>
      </c>
      <c r="M92" s="24" t="str">
        <f t="shared" si="62"/>
        <v/>
      </c>
      <c r="N92" s="24" t="str">
        <f t="shared" si="62"/>
        <v/>
      </c>
      <c r="O92" s="24" t="str">
        <f t="shared" si="62"/>
        <v/>
      </c>
      <c r="P92" s="24" t="str">
        <f t="shared" si="62"/>
        <v/>
      </c>
      <c r="Q92" s="24" t="str">
        <f t="shared" si="62"/>
        <v/>
      </c>
      <c r="R92" s="24" t="str">
        <f t="shared" si="62"/>
        <v/>
      </c>
      <c r="S92" s="24" t="str">
        <f t="shared" si="62"/>
        <v/>
      </c>
      <c r="T92" s="24" t="str">
        <f t="shared" si="62"/>
        <v/>
      </c>
      <c r="U92" s="24" t="str">
        <f t="shared" si="62"/>
        <v/>
      </c>
      <c r="V92" s="24" t="str">
        <f t="shared" si="62"/>
        <v/>
      </c>
      <c r="W92" s="24" t="str">
        <f t="shared" si="62"/>
        <v/>
      </c>
      <c r="X92" s="24" t="str">
        <f t="shared" si="62"/>
        <v/>
      </c>
      <c r="Y92" s="24" t="str">
        <f t="shared" si="62"/>
        <v/>
      </c>
      <c r="Z92" s="24" t="str">
        <f t="shared" si="62"/>
        <v/>
      </c>
      <c r="AA92" s="24" t="str">
        <f t="shared" si="62"/>
        <v/>
      </c>
      <c r="AB92" s="24" t="str">
        <f t="shared" si="62"/>
        <v/>
      </c>
      <c r="AC92" s="24" t="str">
        <f t="shared" si="62"/>
        <v/>
      </c>
      <c r="AD92" s="24" t="str">
        <f t="shared" si="62"/>
        <v/>
      </c>
      <c r="AE92" s="24" t="str">
        <f t="shared" si="62"/>
        <v/>
      </c>
      <c r="AF92" s="24" t="str">
        <f t="shared" si="62"/>
        <v/>
      </c>
      <c r="AG92" s="24" t="str">
        <f t="shared" si="62"/>
        <v/>
      </c>
      <c r="AH92" s="24" t="str">
        <f t="shared" si="62"/>
        <v/>
      </c>
      <c r="AI92" s="24" t="str">
        <f t="shared" si="62"/>
        <v/>
      </c>
      <c r="AJ92" s="24" t="str">
        <f t="shared" si="62"/>
        <v/>
      </c>
      <c r="AK92" s="24" t="str">
        <f t="shared" si="62"/>
        <v/>
      </c>
      <c r="AL92" s="24" t="str">
        <f t="shared" si="62"/>
        <v/>
      </c>
      <c r="AM92" s="24" t="str">
        <f t="shared" si="62"/>
        <v/>
      </c>
      <c r="AN92" s="24" t="str">
        <f t="shared" si="62"/>
        <v/>
      </c>
      <c r="AO92" s="24" t="str">
        <f t="shared" si="62"/>
        <v/>
      </c>
      <c r="AP92" s="24" t="str">
        <f t="shared" si="62"/>
        <v/>
      </c>
      <c r="AQ92" s="24" t="str">
        <f t="shared" ref="AQ92:BH92" si="63">IF(AND($J92&lt;&gt;"",AQ$6=$G92),"◆","")</f>
        <v/>
      </c>
      <c r="AR92" s="24" t="str">
        <f t="shared" si="63"/>
        <v/>
      </c>
      <c r="AS92" s="24" t="str">
        <f t="shared" si="63"/>
        <v/>
      </c>
      <c r="AT92" s="24" t="str">
        <f t="shared" si="63"/>
        <v/>
      </c>
      <c r="AU92" s="24" t="str">
        <f t="shared" si="63"/>
        <v/>
      </c>
      <c r="AV92" s="24" t="str">
        <f t="shared" si="63"/>
        <v/>
      </c>
      <c r="AW92" s="24" t="str">
        <f t="shared" si="63"/>
        <v/>
      </c>
      <c r="AX92" s="24" t="str">
        <f t="shared" si="63"/>
        <v/>
      </c>
      <c r="AY92" s="24" t="str">
        <f t="shared" si="63"/>
        <v/>
      </c>
      <c r="AZ92" s="24" t="str">
        <f t="shared" si="63"/>
        <v/>
      </c>
      <c r="BA92" s="24" t="str">
        <f t="shared" si="63"/>
        <v/>
      </c>
      <c r="BB92" s="24" t="str">
        <f t="shared" si="63"/>
        <v/>
      </c>
      <c r="BC92" s="24" t="str">
        <f t="shared" si="63"/>
        <v/>
      </c>
      <c r="BD92" s="24" t="str">
        <f t="shared" si="63"/>
        <v/>
      </c>
      <c r="BE92" s="24" t="str">
        <f t="shared" si="63"/>
        <v/>
      </c>
      <c r="BF92" s="24" t="str">
        <f t="shared" si="63"/>
        <v/>
      </c>
      <c r="BG92" s="24" t="str">
        <f t="shared" si="63"/>
        <v/>
      </c>
      <c r="BH92" s="24" t="str">
        <f t="shared" si="63"/>
        <v/>
      </c>
    </row>
    <row r="93" spans="1:60" x14ac:dyDescent="0.2">
      <c r="A93" s="25" t="s">
        <v>120</v>
      </c>
      <c r="B93" s="26" t="s">
        <v>29</v>
      </c>
      <c r="C93" s="25" t="s">
        <v>30</v>
      </c>
      <c r="D93" s="25" t="str">
        <f>D92</f>
        <v>Critical</v>
      </c>
      <c r="E93" s="27"/>
      <c r="F93" s="27"/>
      <c r="G93" s="27"/>
      <c r="H93" s="28" t="str">
        <f>IF(OR(F93="",G93=""),"",G93-F93+1)</f>
        <v/>
      </c>
      <c r="I93" s="29" t="str">
        <f>IF(G93="","",G93-G92)</f>
        <v/>
      </c>
      <c r="J93" s="28"/>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row>
    <row r="94" spans="1:60" x14ac:dyDescent="0.2">
      <c r="A94" s="31" t="s">
        <v>122</v>
      </c>
      <c r="B94" s="32" t="s">
        <v>123</v>
      </c>
      <c r="C94" s="33" t="s">
        <v>27</v>
      </c>
      <c r="D94" s="34" t="s">
        <v>33</v>
      </c>
      <c r="E94" s="35">
        <v>4</v>
      </c>
      <c r="F94" s="35">
        <v>40</v>
      </c>
      <c r="G94" s="35">
        <v>41</v>
      </c>
      <c r="H94" s="36">
        <f>G94-F94+1</f>
        <v>2</v>
      </c>
      <c r="I94" s="36"/>
      <c r="J94" s="34"/>
      <c r="K94" s="37" t="str">
        <f t="shared" ref="K94:AP94" si="64">IF(AND($J94&lt;&gt;"",K$6=$G94),"◆","")</f>
        <v/>
      </c>
      <c r="L94" s="37" t="str">
        <f t="shared" si="64"/>
        <v/>
      </c>
      <c r="M94" s="37" t="str">
        <f t="shared" si="64"/>
        <v/>
      </c>
      <c r="N94" s="37" t="str">
        <f t="shared" si="64"/>
        <v/>
      </c>
      <c r="O94" s="37" t="str">
        <f t="shared" si="64"/>
        <v/>
      </c>
      <c r="P94" s="37" t="str">
        <f t="shared" si="64"/>
        <v/>
      </c>
      <c r="Q94" s="37" t="str">
        <f t="shared" si="64"/>
        <v/>
      </c>
      <c r="R94" s="37" t="str">
        <f t="shared" si="64"/>
        <v/>
      </c>
      <c r="S94" s="37" t="str">
        <f t="shared" si="64"/>
        <v/>
      </c>
      <c r="T94" s="37" t="str">
        <f t="shared" si="64"/>
        <v/>
      </c>
      <c r="U94" s="37" t="str">
        <f t="shared" si="64"/>
        <v/>
      </c>
      <c r="V94" s="37" t="str">
        <f t="shared" si="64"/>
        <v/>
      </c>
      <c r="W94" s="37" t="str">
        <f t="shared" si="64"/>
        <v/>
      </c>
      <c r="X94" s="37" t="str">
        <f t="shared" si="64"/>
        <v/>
      </c>
      <c r="Y94" s="37" t="str">
        <f t="shared" si="64"/>
        <v/>
      </c>
      <c r="Z94" s="37" t="str">
        <f t="shared" si="64"/>
        <v/>
      </c>
      <c r="AA94" s="37" t="str">
        <f t="shared" si="64"/>
        <v/>
      </c>
      <c r="AB94" s="37" t="str">
        <f t="shared" si="64"/>
        <v/>
      </c>
      <c r="AC94" s="37" t="str">
        <f t="shared" si="64"/>
        <v/>
      </c>
      <c r="AD94" s="37" t="str">
        <f t="shared" si="64"/>
        <v/>
      </c>
      <c r="AE94" s="37" t="str">
        <f t="shared" si="64"/>
        <v/>
      </c>
      <c r="AF94" s="37" t="str">
        <f t="shared" si="64"/>
        <v/>
      </c>
      <c r="AG94" s="37" t="str">
        <f t="shared" si="64"/>
        <v/>
      </c>
      <c r="AH94" s="37" t="str">
        <f t="shared" si="64"/>
        <v/>
      </c>
      <c r="AI94" s="37" t="str">
        <f t="shared" si="64"/>
        <v/>
      </c>
      <c r="AJ94" s="37" t="str">
        <f t="shared" si="64"/>
        <v/>
      </c>
      <c r="AK94" s="37" t="str">
        <f t="shared" si="64"/>
        <v/>
      </c>
      <c r="AL94" s="37" t="str">
        <f t="shared" si="64"/>
        <v/>
      </c>
      <c r="AM94" s="37" t="str">
        <f t="shared" si="64"/>
        <v/>
      </c>
      <c r="AN94" s="37" t="str">
        <f t="shared" si="64"/>
        <v/>
      </c>
      <c r="AO94" s="37" t="str">
        <f t="shared" si="64"/>
        <v/>
      </c>
      <c r="AP94" s="37" t="str">
        <f t="shared" si="64"/>
        <v/>
      </c>
      <c r="AQ94" s="37" t="str">
        <f t="shared" ref="AQ94:BH94" si="65">IF(AND($J94&lt;&gt;"",AQ$6=$G94),"◆","")</f>
        <v/>
      </c>
      <c r="AR94" s="37" t="str">
        <f t="shared" si="65"/>
        <v/>
      </c>
      <c r="AS94" s="37" t="str">
        <f t="shared" si="65"/>
        <v/>
      </c>
      <c r="AT94" s="37" t="str">
        <f t="shared" si="65"/>
        <v/>
      </c>
      <c r="AU94" s="37" t="str">
        <f t="shared" si="65"/>
        <v/>
      </c>
      <c r="AV94" s="37" t="str">
        <f t="shared" si="65"/>
        <v/>
      </c>
      <c r="AW94" s="37" t="str">
        <f t="shared" si="65"/>
        <v/>
      </c>
      <c r="AX94" s="37" t="str">
        <f t="shared" si="65"/>
        <v/>
      </c>
      <c r="AY94" s="37" t="str">
        <f t="shared" si="65"/>
        <v/>
      </c>
      <c r="AZ94" s="37" t="str">
        <f t="shared" si="65"/>
        <v/>
      </c>
      <c r="BA94" s="37" t="str">
        <f t="shared" si="65"/>
        <v/>
      </c>
      <c r="BB94" s="37" t="str">
        <f t="shared" si="65"/>
        <v/>
      </c>
      <c r="BC94" s="37" t="str">
        <f t="shared" si="65"/>
        <v/>
      </c>
      <c r="BD94" s="37" t="str">
        <f t="shared" si="65"/>
        <v/>
      </c>
      <c r="BE94" s="37" t="str">
        <f t="shared" si="65"/>
        <v/>
      </c>
      <c r="BF94" s="37" t="str">
        <f t="shared" si="65"/>
        <v/>
      </c>
      <c r="BG94" s="37" t="str">
        <f t="shared" si="65"/>
        <v/>
      </c>
      <c r="BH94" s="37" t="str">
        <f t="shared" si="65"/>
        <v/>
      </c>
    </row>
    <row r="95" spans="1:60" x14ac:dyDescent="0.2">
      <c r="A95" s="25" t="s">
        <v>122</v>
      </c>
      <c r="B95" s="26" t="s">
        <v>29</v>
      </c>
      <c r="C95" s="25" t="s">
        <v>30</v>
      </c>
      <c r="D95" s="25" t="str">
        <f>D94</f>
        <v>Critical</v>
      </c>
      <c r="E95" s="27"/>
      <c r="F95" s="27"/>
      <c r="G95" s="27"/>
      <c r="H95" s="28" t="str">
        <f>IF(OR(F95="",G95=""),"",G95-F95+1)</f>
        <v/>
      </c>
      <c r="I95" s="29" t="str">
        <f>IF(G95="","",G95-G94)</f>
        <v/>
      </c>
      <c r="J95" s="28"/>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row>
    <row r="96" spans="1:60" x14ac:dyDescent="0.2">
      <c r="A96" s="18" t="s">
        <v>124</v>
      </c>
      <c r="B96" s="19" t="s">
        <v>125</v>
      </c>
      <c r="C96" s="20" t="s">
        <v>27</v>
      </c>
      <c r="D96" s="21" t="s">
        <v>33</v>
      </c>
      <c r="E96" s="22">
        <v>12</v>
      </c>
      <c r="F96" s="22">
        <v>42</v>
      </c>
      <c r="G96" s="22">
        <v>48</v>
      </c>
      <c r="H96" s="23">
        <f>G96-F96+1</f>
        <v>7</v>
      </c>
      <c r="I96" s="23"/>
      <c r="J96" s="21"/>
      <c r="K96" s="24" t="str">
        <f t="shared" ref="K96:AP96" si="66">IF(AND($J96&lt;&gt;"",K$6=$G96),"◆","")</f>
        <v/>
      </c>
      <c r="L96" s="24" t="str">
        <f t="shared" si="66"/>
        <v/>
      </c>
      <c r="M96" s="24" t="str">
        <f t="shared" si="66"/>
        <v/>
      </c>
      <c r="N96" s="24" t="str">
        <f t="shared" si="66"/>
        <v/>
      </c>
      <c r="O96" s="24" t="str">
        <f t="shared" si="66"/>
        <v/>
      </c>
      <c r="P96" s="24" t="str">
        <f t="shared" si="66"/>
        <v/>
      </c>
      <c r="Q96" s="24" t="str">
        <f t="shared" si="66"/>
        <v/>
      </c>
      <c r="R96" s="24" t="str">
        <f t="shared" si="66"/>
        <v/>
      </c>
      <c r="S96" s="24" t="str">
        <f t="shared" si="66"/>
        <v/>
      </c>
      <c r="T96" s="24" t="str">
        <f t="shared" si="66"/>
        <v/>
      </c>
      <c r="U96" s="24" t="str">
        <f t="shared" si="66"/>
        <v/>
      </c>
      <c r="V96" s="24" t="str">
        <f t="shared" si="66"/>
        <v/>
      </c>
      <c r="W96" s="24" t="str">
        <f t="shared" si="66"/>
        <v/>
      </c>
      <c r="X96" s="24" t="str">
        <f t="shared" si="66"/>
        <v/>
      </c>
      <c r="Y96" s="24" t="str">
        <f t="shared" si="66"/>
        <v/>
      </c>
      <c r="Z96" s="24" t="str">
        <f t="shared" si="66"/>
        <v/>
      </c>
      <c r="AA96" s="24" t="str">
        <f t="shared" si="66"/>
        <v/>
      </c>
      <c r="AB96" s="24" t="str">
        <f t="shared" si="66"/>
        <v/>
      </c>
      <c r="AC96" s="24" t="str">
        <f t="shared" si="66"/>
        <v/>
      </c>
      <c r="AD96" s="24" t="str">
        <f t="shared" si="66"/>
        <v/>
      </c>
      <c r="AE96" s="24" t="str">
        <f t="shared" si="66"/>
        <v/>
      </c>
      <c r="AF96" s="24" t="str">
        <f t="shared" si="66"/>
        <v/>
      </c>
      <c r="AG96" s="24" t="str">
        <f t="shared" si="66"/>
        <v/>
      </c>
      <c r="AH96" s="24" t="str">
        <f t="shared" si="66"/>
        <v/>
      </c>
      <c r="AI96" s="24" t="str">
        <f t="shared" si="66"/>
        <v/>
      </c>
      <c r="AJ96" s="24" t="str">
        <f t="shared" si="66"/>
        <v/>
      </c>
      <c r="AK96" s="24" t="str">
        <f t="shared" si="66"/>
        <v/>
      </c>
      <c r="AL96" s="24" t="str">
        <f t="shared" si="66"/>
        <v/>
      </c>
      <c r="AM96" s="24" t="str">
        <f t="shared" si="66"/>
        <v/>
      </c>
      <c r="AN96" s="24" t="str">
        <f t="shared" si="66"/>
        <v/>
      </c>
      <c r="AO96" s="24" t="str">
        <f t="shared" si="66"/>
        <v/>
      </c>
      <c r="AP96" s="24" t="str">
        <f t="shared" si="66"/>
        <v/>
      </c>
      <c r="AQ96" s="24" t="str">
        <f t="shared" ref="AQ96:BH96" si="67">IF(AND($J96&lt;&gt;"",AQ$6=$G96),"◆","")</f>
        <v/>
      </c>
      <c r="AR96" s="24" t="str">
        <f t="shared" si="67"/>
        <v/>
      </c>
      <c r="AS96" s="24" t="str">
        <f t="shared" si="67"/>
        <v/>
      </c>
      <c r="AT96" s="24" t="str">
        <f t="shared" si="67"/>
        <v/>
      </c>
      <c r="AU96" s="24" t="str">
        <f t="shared" si="67"/>
        <v/>
      </c>
      <c r="AV96" s="24" t="str">
        <f t="shared" si="67"/>
        <v/>
      </c>
      <c r="AW96" s="24" t="str">
        <f t="shared" si="67"/>
        <v/>
      </c>
      <c r="AX96" s="24" t="str">
        <f t="shared" si="67"/>
        <v/>
      </c>
      <c r="AY96" s="24" t="str">
        <f t="shared" si="67"/>
        <v/>
      </c>
      <c r="AZ96" s="24" t="str">
        <f t="shared" si="67"/>
        <v/>
      </c>
      <c r="BA96" s="24" t="str">
        <f t="shared" si="67"/>
        <v/>
      </c>
      <c r="BB96" s="24" t="str">
        <f t="shared" si="67"/>
        <v/>
      </c>
      <c r="BC96" s="24" t="str">
        <f t="shared" si="67"/>
        <v/>
      </c>
      <c r="BD96" s="24" t="str">
        <f t="shared" si="67"/>
        <v/>
      </c>
      <c r="BE96" s="24" t="str">
        <f t="shared" si="67"/>
        <v/>
      </c>
      <c r="BF96" s="24" t="str">
        <f t="shared" si="67"/>
        <v/>
      </c>
      <c r="BG96" s="24" t="str">
        <f t="shared" si="67"/>
        <v/>
      </c>
      <c r="BH96" s="24" t="str">
        <f t="shared" si="67"/>
        <v/>
      </c>
    </row>
    <row r="97" spans="1:60" x14ac:dyDescent="0.2">
      <c r="A97" s="25" t="s">
        <v>124</v>
      </c>
      <c r="B97" s="26" t="s">
        <v>29</v>
      </c>
      <c r="C97" s="25" t="s">
        <v>30</v>
      </c>
      <c r="D97" s="25" t="str">
        <f>D96</f>
        <v>Critical</v>
      </c>
      <c r="E97" s="27"/>
      <c r="F97" s="27"/>
      <c r="G97" s="27"/>
      <c r="H97" s="28" t="str">
        <f>IF(OR(F97="",G97=""),"",G97-F97+1)</f>
        <v/>
      </c>
      <c r="I97" s="29" t="str">
        <f>IF(G97="","",G97-G96)</f>
        <v/>
      </c>
      <c r="J97" s="28"/>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row>
    <row r="98" spans="1:60" x14ac:dyDescent="0.2">
      <c r="A98" s="31" t="s">
        <v>126</v>
      </c>
      <c r="B98" s="32" t="s">
        <v>127</v>
      </c>
      <c r="C98" s="33" t="s">
        <v>27</v>
      </c>
      <c r="D98" s="34" t="s">
        <v>33</v>
      </c>
      <c r="E98" s="35">
        <v>3</v>
      </c>
      <c r="F98" s="35">
        <v>49</v>
      </c>
      <c r="G98" s="35">
        <v>50</v>
      </c>
      <c r="H98" s="36">
        <f>G98-F98+1</f>
        <v>2</v>
      </c>
      <c r="I98" s="36"/>
      <c r="J98" s="34"/>
      <c r="K98" s="37" t="str">
        <f t="shared" ref="K98:AP98" si="68">IF(AND($J98&lt;&gt;"",K$6=$G98),"◆","")</f>
        <v/>
      </c>
      <c r="L98" s="37" t="str">
        <f t="shared" si="68"/>
        <v/>
      </c>
      <c r="M98" s="37" t="str">
        <f t="shared" si="68"/>
        <v/>
      </c>
      <c r="N98" s="37" t="str">
        <f t="shared" si="68"/>
        <v/>
      </c>
      <c r="O98" s="37" t="str">
        <f t="shared" si="68"/>
        <v/>
      </c>
      <c r="P98" s="37" t="str">
        <f t="shared" si="68"/>
        <v/>
      </c>
      <c r="Q98" s="37" t="str">
        <f t="shared" si="68"/>
        <v/>
      </c>
      <c r="R98" s="37" t="str">
        <f t="shared" si="68"/>
        <v/>
      </c>
      <c r="S98" s="37" t="str">
        <f t="shared" si="68"/>
        <v/>
      </c>
      <c r="T98" s="37" t="str">
        <f t="shared" si="68"/>
        <v/>
      </c>
      <c r="U98" s="37" t="str">
        <f t="shared" si="68"/>
        <v/>
      </c>
      <c r="V98" s="37" t="str">
        <f t="shared" si="68"/>
        <v/>
      </c>
      <c r="W98" s="37" t="str">
        <f t="shared" si="68"/>
        <v/>
      </c>
      <c r="X98" s="37" t="str">
        <f t="shared" si="68"/>
        <v/>
      </c>
      <c r="Y98" s="37" t="str">
        <f t="shared" si="68"/>
        <v/>
      </c>
      <c r="Z98" s="37" t="str">
        <f t="shared" si="68"/>
        <v/>
      </c>
      <c r="AA98" s="37" t="str">
        <f t="shared" si="68"/>
        <v/>
      </c>
      <c r="AB98" s="37" t="str">
        <f t="shared" si="68"/>
        <v/>
      </c>
      <c r="AC98" s="37" t="str">
        <f t="shared" si="68"/>
        <v/>
      </c>
      <c r="AD98" s="37" t="str">
        <f t="shared" si="68"/>
        <v/>
      </c>
      <c r="AE98" s="37" t="str">
        <f t="shared" si="68"/>
        <v/>
      </c>
      <c r="AF98" s="37" t="str">
        <f t="shared" si="68"/>
        <v/>
      </c>
      <c r="AG98" s="37" t="str">
        <f t="shared" si="68"/>
        <v/>
      </c>
      <c r="AH98" s="37" t="str">
        <f t="shared" si="68"/>
        <v/>
      </c>
      <c r="AI98" s="37" t="str">
        <f t="shared" si="68"/>
        <v/>
      </c>
      <c r="AJ98" s="37" t="str">
        <f t="shared" si="68"/>
        <v/>
      </c>
      <c r="AK98" s="37" t="str">
        <f t="shared" si="68"/>
        <v/>
      </c>
      <c r="AL98" s="37" t="str">
        <f t="shared" si="68"/>
        <v/>
      </c>
      <c r="AM98" s="37" t="str">
        <f t="shared" si="68"/>
        <v/>
      </c>
      <c r="AN98" s="37" t="str">
        <f t="shared" si="68"/>
        <v/>
      </c>
      <c r="AO98" s="37" t="str">
        <f t="shared" si="68"/>
        <v/>
      </c>
      <c r="AP98" s="37" t="str">
        <f t="shared" si="68"/>
        <v/>
      </c>
      <c r="AQ98" s="37" t="str">
        <f t="shared" ref="AQ98:BH98" si="69">IF(AND($J98&lt;&gt;"",AQ$6=$G98),"◆","")</f>
        <v/>
      </c>
      <c r="AR98" s="37" t="str">
        <f t="shared" si="69"/>
        <v/>
      </c>
      <c r="AS98" s="37" t="str">
        <f t="shared" si="69"/>
        <v/>
      </c>
      <c r="AT98" s="37" t="str">
        <f t="shared" si="69"/>
        <v/>
      </c>
      <c r="AU98" s="37" t="str">
        <f t="shared" si="69"/>
        <v/>
      </c>
      <c r="AV98" s="37" t="str">
        <f t="shared" si="69"/>
        <v/>
      </c>
      <c r="AW98" s="37" t="str">
        <f t="shared" si="69"/>
        <v/>
      </c>
      <c r="AX98" s="37" t="str">
        <f t="shared" si="69"/>
        <v/>
      </c>
      <c r="AY98" s="37" t="str">
        <f t="shared" si="69"/>
        <v/>
      </c>
      <c r="AZ98" s="37" t="str">
        <f t="shared" si="69"/>
        <v/>
      </c>
      <c r="BA98" s="37" t="str">
        <f t="shared" si="69"/>
        <v/>
      </c>
      <c r="BB98" s="37" t="str">
        <f t="shared" si="69"/>
        <v/>
      </c>
      <c r="BC98" s="37" t="str">
        <f t="shared" si="69"/>
        <v/>
      </c>
      <c r="BD98" s="37" t="str">
        <f t="shared" si="69"/>
        <v/>
      </c>
      <c r="BE98" s="37" t="str">
        <f t="shared" si="69"/>
        <v/>
      </c>
      <c r="BF98" s="37" t="str">
        <f t="shared" si="69"/>
        <v/>
      </c>
      <c r="BG98" s="37" t="str">
        <f t="shared" si="69"/>
        <v/>
      </c>
      <c r="BH98" s="37" t="str">
        <f t="shared" si="69"/>
        <v/>
      </c>
    </row>
    <row r="99" spans="1:60" x14ac:dyDescent="0.2">
      <c r="A99" s="25" t="s">
        <v>126</v>
      </c>
      <c r="B99" s="26" t="s">
        <v>29</v>
      </c>
      <c r="C99" s="25" t="s">
        <v>30</v>
      </c>
      <c r="D99" s="25" t="str">
        <f>D98</f>
        <v>Critical</v>
      </c>
      <c r="E99" s="27"/>
      <c r="F99" s="27"/>
      <c r="G99" s="27"/>
      <c r="H99" s="28" t="str">
        <f>IF(OR(F99="",G99=""),"",G99-F99+1)</f>
        <v/>
      </c>
      <c r="I99" s="29" t="str">
        <f>IF(G99="","",G99-G98)</f>
        <v/>
      </c>
      <c r="J99" s="28"/>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row>
    <row r="100" spans="1:60" x14ac:dyDescent="0.2">
      <c r="A100" s="38"/>
      <c r="B100" s="39" t="s">
        <v>128</v>
      </c>
      <c r="C100" s="38"/>
      <c r="D100" s="38"/>
      <c r="E100" s="40">
        <f>SUMIFS(E7:E99,C7:C99,"Plan",D7:D99,"&lt;&gt;Summary")</f>
        <v>210</v>
      </c>
      <c r="F100" s="38"/>
      <c r="G100" s="40">
        <f>_xlfn.MAXIFS(G7:G99,C7:C99,"Plan")</f>
        <v>50</v>
      </c>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row>
    <row r="101" spans="1:60" x14ac:dyDescent="0.2">
      <c r="A101" s="38"/>
      <c r="B101" s="39" t="s">
        <v>129</v>
      </c>
      <c r="C101" s="38"/>
      <c r="D101" s="38"/>
      <c r="E101" s="40">
        <f>SUMIFS(E7:E99,C7:C99,"Actual",D7:D99,"&lt;&gt;Summary")</f>
        <v>33</v>
      </c>
      <c r="F101" s="38"/>
      <c r="G101" s="40">
        <f>IF(COUNTIFS(C7:C99,"Actual",G7:G99,"&lt;&gt;")=0,"",_xlfn.MAXIFS(G7:G99,C7:C99,"Actual"))</f>
        <v>8</v>
      </c>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row>
    <row r="103" spans="1:60" x14ac:dyDescent="0.2">
      <c r="B103" s="41" t="s">
        <v>130</v>
      </c>
    </row>
    <row r="104" spans="1:60" x14ac:dyDescent="0.2">
      <c r="A104" s="6"/>
      <c r="B104" s="42" t="s">
        <v>131</v>
      </c>
    </row>
    <row r="105" spans="1:60" x14ac:dyDescent="0.2">
      <c r="A105" s="43"/>
      <c r="B105" s="42" t="s">
        <v>132</v>
      </c>
    </row>
    <row r="106" spans="1:60" x14ac:dyDescent="0.2">
      <c r="A106" s="44"/>
      <c r="B106" s="42" t="s">
        <v>133</v>
      </c>
    </row>
    <row r="107" spans="1:60" x14ac:dyDescent="0.2">
      <c r="A107" s="45"/>
      <c r="B107" s="42" t="s">
        <v>134</v>
      </c>
    </row>
    <row r="108" spans="1:60" x14ac:dyDescent="0.2">
      <c r="A108" s="46"/>
      <c r="B108" s="42" t="s">
        <v>135</v>
      </c>
    </row>
    <row r="109" spans="1:60" x14ac:dyDescent="0.2">
      <c r="A109" s="47"/>
      <c r="B109" s="42" t="s">
        <v>136</v>
      </c>
    </row>
    <row r="110" spans="1:60" x14ac:dyDescent="0.2">
      <c r="A110" s="48"/>
      <c r="B110" s="42" t="s">
        <v>137</v>
      </c>
    </row>
    <row r="111" spans="1:60" x14ac:dyDescent="0.2">
      <c r="A111" s="49" t="s">
        <v>138</v>
      </c>
      <c r="B111" s="42" t="s">
        <v>139</v>
      </c>
    </row>
    <row r="113" spans="2:20" x14ac:dyDescent="0.2">
      <c r="B113" s="50" t="s">
        <v>140</v>
      </c>
    </row>
    <row r="114" spans="2:20" x14ac:dyDescent="0.2">
      <c r="B114" s="51" t="s">
        <v>27</v>
      </c>
      <c r="K114" s="52"/>
      <c r="L114" s="52"/>
      <c r="M114" s="43"/>
      <c r="N114" s="43"/>
      <c r="O114" s="43"/>
      <c r="P114" s="43"/>
      <c r="Q114" s="52"/>
      <c r="R114" s="52"/>
      <c r="S114" s="52"/>
      <c r="T114" s="52"/>
    </row>
    <row r="115" spans="2:20" x14ac:dyDescent="0.2">
      <c r="B115" s="51" t="s">
        <v>141</v>
      </c>
      <c r="K115" s="52"/>
      <c r="L115" s="52"/>
      <c r="M115" s="45"/>
      <c r="N115" s="45"/>
      <c r="O115" s="45"/>
      <c r="P115" s="45"/>
      <c r="Q115" s="46"/>
      <c r="R115" s="46"/>
      <c r="S115" s="52"/>
      <c r="T115" s="52"/>
    </row>
    <row r="117" spans="2:20" x14ac:dyDescent="0.2">
      <c r="B117" s="53"/>
    </row>
  </sheetData>
  <mergeCells count="20">
    <mergeCell ref="A5:A6"/>
    <mergeCell ref="G5:G6"/>
    <mergeCell ref="AO5:AS5"/>
    <mergeCell ref="AY5:BC5"/>
    <mergeCell ref="AJ5:AN5"/>
    <mergeCell ref="Z5:AD5"/>
    <mergeCell ref="B5:B6"/>
    <mergeCell ref="D5:D6"/>
    <mergeCell ref="H5:H6"/>
    <mergeCell ref="J5:J6"/>
    <mergeCell ref="AE5:AI5"/>
    <mergeCell ref="U5:Y5"/>
    <mergeCell ref="P5:T5"/>
    <mergeCell ref="C5:C6"/>
    <mergeCell ref="E5:E6"/>
    <mergeCell ref="K5:O5"/>
    <mergeCell ref="F5:F6"/>
    <mergeCell ref="AT5:AX5"/>
    <mergeCell ref="BD5:BH5"/>
    <mergeCell ref="I5:I6"/>
  </mergeCells>
  <conditionalFormatting sqref="K6:BH6">
    <cfRule type="expression" dxfId="6" priority="7">
      <formula>K$6=$F$3</formula>
    </cfRule>
  </conditionalFormatting>
  <conditionalFormatting sqref="K7:BH99">
    <cfRule type="expression" dxfId="5" priority="1" stopIfTrue="1">
      <formula>AND($C7="Plan",$D7="Summary",K$6&gt;=$F7,K$6&lt;=$G7)</formula>
    </cfRule>
    <cfRule type="expression" dxfId="4" priority="2" stopIfTrue="1">
      <formula>AND($C7="Plan",$D7="Critical",K$6&gt;=$F7,K$6&lt;=$G7)</formula>
    </cfRule>
    <cfRule type="expression" dxfId="3" priority="3" stopIfTrue="1">
      <formula>AND($C7="Plan",$D7="Parallel",K$6&gt;=$F7,K$6&lt;=$G7)</formula>
    </cfRule>
    <cfRule type="expression" dxfId="2" priority="4" stopIfTrue="1">
      <formula>AND($C7="Actual",$F7&lt;&gt;"",OR($G7&lt;&gt;"",$F$3&lt;&gt;""),K$6&gt;=$F7,K$6&lt;=IF($G7="",$F$3,$G7),K$6&gt;$G6)</formula>
    </cfRule>
    <cfRule type="expression" dxfId="1" priority="5" stopIfTrue="1">
      <formula>AND($C7="Actual",$F7&lt;&gt;"",$G7="",$F$3&lt;&gt;"",K$6&gt;=$F7,K$6&lt;=IF($G7="",$F$3,$G7))</formula>
    </cfRule>
    <cfRule type="expression" dxfId="0" priority="6" stopIfTrue="1">
      <formula>AND($C7="Actual",$F7&lt;&gt;"",$G7&lt;&gt;"",K$6&gt;=$F7,K$6&lt;=IF($G7="",$F$3,$G7))</formula>
    </cfRule>
  </conditionalFormatting>
  <dataValidations count="3">
    <dataValidation type="list" showErrorMessage="1" errorTitle="Strand" error="Choose Critical or Parallel." sqref="D10 D12 D14 D16 D20 D22 D24 D26 D28 D30 D34 D36 D38 D42 D44 D46 D48 D52 D54 D59 D61 D65 D67 D69 D71 D75 D77 D79 D83 D85 D87 D92 D94 D96 D98" xr:uid="{00000000-0002-0000-0000-000000000000}">
      <formula1>"Critical,Parallel"</formula1>
    </dataValidation>
    <dataValidation type="list" allowBlank="1" sqref="J10 J12 J14 J16 J20 J22 J24 J26 J28 J30 J34 J36 J38 J42 J44 J46 J48 J52 J54 J59 J61 J65 J67 J69 J71 J75 J77 J79 J83 J85 J87 J92 J94 J96 J98" xr:uid="{00000000-0002-0000-0000-000001000000}">
      <formula1>"G1,G2,G3,G4,G5"</formula1>
    </dataValidation>
    <dataValidation type="whole" allowBlank="1" showErrorMessage="1" errorTitle="Day" error="Enter a working day from 1 to 50." sqref="F3 F10 F11 F12 F13 F14 F15 F16 F17 F20 F21 F22 F23 F24 F25 F26 F27 F28 F29 F30 F31 F34 F35 F36 F37 F38 F39 F42 F43 F44 F45 F46 F47 F48 F49 F52 F53 F54 F55 F59 F60 F61 F62 F65 F66 F67 F68 F69 F70 F71 F72 F75 F76 F77 F78 F79 F80 F83 F84 F85 F86 F87 F88 F92 F93 F94 F95 F96 F97 F98 F99 G10 G11 G12 G13 G14 G15 G16 G17 G20 G21 G22 G23 G24 G25 G26 G27 G28 G29 G30 G31 G34 G35 G36 G37 G38 G39 G42 G43 G44 G45 G46 G47 G48 G49 G52 G53 G54 G55 G59 G60 G61 G62 G65 G66 G67 G68 G69 G70 G71 G72 G75 G76 G77 G78 G79 G80 G83 G84 G85 G86 G87 G88 G92 G93 G94 G95 G96 G97 G98 G99" xr:uid="{00000000-0002-0000-0000-000002000000}">
      <formula1>1</formula1>
      <formula2>50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
  <sheetViews>
    <sheetView workbookViewId="0">
      <pane ySplit="3" topLeftCell="A4" activePane="bottomLeft" state="frozen"/>
      <selection pane="bottomLeft"/>
    </sheetView>
  </sheetViews>
  <sheetFormatPr baseColWidth="10" defaultColWidth="8.83203125" defaultRowHeight="15" x14ac:dyDescent="0.2"/>
  <cols>
    <col min="1" max="2" width="6.5" customWidth="1"/>
    <col min="3" max="3" width="44" customWidth="1"/>
    <col min="4" max="4" width="9" customWidth="1"/>
    <col min="5" max="10" width="7.5" customWidth="1"/>
    <col min="11" max="11" width="7" customWidth="1"/>
    <col min="12" max="12" width="14" customWidth="1"/>
    <col min="13" max="13" width="46" customWidth="1"/>
    <col min="14" max="14" width="34" customWidth="1"/>
  </cols>
  <sheetData>
    <row r="1" spans="1:14" ht="17" x14ac:dyDescent="0.2">
      <c r="A1" s="1" t="s">
        <v>142</v>
      </c>
    </row>
    <row r="3" spans="1:14" ht="28" x14ac:dyDescent="0.2">
      <c r="A3" s="54" t="s">
        <v>4</v>
      </c>
      <c r="B3" s="54" t="s">
        <v>143</v>
      </c>
      <c r="C3" s="54" t="s">
        <v>5</v>
      </c>
      <c r="D3" s="54" t="s">
        <v>7</v>
      </c>
      <c r="E3" s="54" t="s">
        <v>144</v>
      </c>
      <c r="F3" s="54" t="s">
        <v>145</v>
      </c>
      <c r="G3" s="54" t="s">
        <v>146</v>
      </c>
      <c r="H3" s="54" t="s">
        <v>147</v>
      </c>
      <c r="I3" s="54" t="s">
        <v>148</v>
      </c>
      <c r="J3" s="54" t="s">
        <v>149</v>
      </c>
      <c r="K3" s="54" t="s">
        <v>12</v>
      </c>
      <c r="L3" s="54" t="s">
        <v>150</v>
      </c>
      <c r="M3" s="54" t="s">
        <v>151</v>
      </c>
      <c r="N3" s="54" t="s">
        <v>152</v>
      </c>
    </row>
    <row r="4" spans="1:14" x14ac:dyDescent="0.2">
      <c r="A4" s="55" t="s">
        <v>31</v>
      </c>
      <c r="B4" s="56" t="s">
        <v>25</v>
      </c>
      <c r="C4" s="57" t="str">
        <f>Gantt!B10</f>
        <v>Finalise system &amp; software block diagrams</v>
      </c>
      <c r="D4" s="58" t="str">
        <f>Gantt!D10</f>
        <v>Critical</v>
      </c>
      <c r="E4" s="58">
        <f>IF(Gantt!E10="","",Gantt!E10)</f>
        <v>6</v>
      </c>
      <c r="F4" s="58">
        <f>IF(Gantt!F10="","",Gantt!F10)</f>
        <v>1</v>
      </c>
      <c r="G4" s="58">
        <f>IF(Gantt!G10="","",Gantt!G10)</f>
        <v>2</v>
      </c>
      <c r="H4" s="58">
        <f>IF(Gantt!E11="","",Gantt!E11)</f>
        <v>6</v>
      </c>
      <c r="I4" s="58">
        <f>IF(Gantt!F11="","",Gantt!F11)</f>
        <v>1</v>
      </c>
      <c r="J4" s="58">
        <f>IF(Gantt!G11="","",Gantt!G11)</f>
        <v>2</v>
      </c>
      <c r="K4" s="59">
        <f>IF(Gantt!I11="","",Gantt!I11)</f>
        <v>0</v>
      </c>
      <c r="L4" s="55" t="str">
        <f t="shared" ref="L4:L38" si="0">IF(J4&lt;&gt;"",IF(K4&gt;0,"Done — late",IF(K4&lt;0,"Done — early","Done — on time")),IF(I4&lt;&gt;"","In progress","Not started"))</f>
        <v>Done — on time</v>
      </c>
      <c r="M4" s="60" t="s">
        <v>153</v>
      </c>
      <c r="N4" s="60"/>
    </row>
    <row r="5" spans="1:14" x14ac:dyDescent="0.2">
      <c r="A5" s="55" t="s">
        <v>34</v>
      </c>
      <c r="B5" s="56" t="s">
        <v>25</v>
      </c>
      <c r="C5" s="57" t="str">
        <f>Gantt!B12</f>
        <v>Finalise BOM, check budget, place orders</v>
      </c>
      <c r="D5" s="58" t="str">
        <f>Gantt!D12</f>
        <v>Critical</v>
      </c>
      <c r="E5" s="58">
        <f>IF(Gantt!E12="","",Gantt!E12)</f>
        <v>6</v>
      </c>
      <c r="F5" s="58">
        <f>IF(Gantt!F12="","",Gantt!F12)</f>
        <v>2</v>
      </c>
      <c r="G5" s="58">
        <f>IF(Gantt!G12="","",Gantt!G12)</f>
        <v>3</v>
      </c>
      <c r="H5" s="58">
        <f>IF(Gantt!E13="","",Gantt!E13)</f>
        <v>6</v>
      </c>
      <c r="I5" s="58">
        <f>IF(Gantt!F13="","",Gantt!F13)</f>
        <v>2</v>
      </c>
      <c r="J5" s="58">
        <f>IF(Gantt!G13="","",Gantt!G13)</f>
        <v>3</v>
      </c>
      <c r="K5" s="59">
        <f>IF(Gantt!I13="","",Gantt!I13)</f>
        <v>0</v>
      </c>
      <c r="L5" s="55" t="str">
        <f t="shared" si="0"/>
        <v>Done — on time</v>
      </c>
      <c r="M5" s="60" t="s">
        <v>154</v>
      </c>
      <c r="N5" s="60" t="s">
        <v>155</v>
      </c>
    </row>
    <row r="6" spans="1:14" x14ac:dyDescent="0.2">
      <c r="A6" s="55" t="s">
        <v>36</v>
      </c>
      <c r="B6" s="56" t="s">
        <v>25</v>
      </c>
      <c r="C6" s="57" t="str">
        <f>Gantt!B14</f>
        <v>Risk assessment form + book indoor test space</v>
      </c>
      <c r="D6" s="58" t="str">
        <f>Gantt!D14</f>
        <v>Critical</v>
      </c>
      <c r="E6" s="58">
        <f>IF(Gantt!E14="","",Gantt!E14)</f>
        <v>4</v>
      </c>
      <c r="F6" s="58">
        <f>IF(Gantt!F14="","",Gantt!F14)</f>
        <v>4</v>
      </c>
      <c r="G6" s="58">
        <f>IF(Gantt!G14="","",Gantt!G14)</f>
        <v>4</v>
      </c>
      <c r="H6" s="58">
        <f>IF(Gantt!E15="","",Gantt!E15)</f>
        <v>4</v>
      </c>
      <c r="I6" s="58">
        <f>IF(Gantt!F15="","",Gantt!F15)</f>
        <v>4</v>
      </c>
      <c r="J6" s="58">
        <f>IF(Gantt!G15="","",Gantt!G15)</f>
        <v>4</v>
      </c>
      <c r="K6" s="59">
        <f>IF(Gantt!I15="","",Gantt!I15)</f>
        <v>0</v>
      </c>
      <c r="L6" s="55" t="str">
        <f t="shared" si="0"/>
        <v>Done — on time</v>
      </c>
      <c r="M6" s="60" t="s">
        <v>156</v>
      </c>
      <c r="N6" s="60"/>
    </row>
    <row r="7" spans="1:14" x14ac:dyDescent="0.2">
      <c r="A7" s="55" t="s">
        <v>38</v>
      </c>
      <c r="B7" s="56" t="s">
        <v>25</v>
      </c>
      <c r="C7" s="57" t="str">
        <f>Gantt!B16</f>
        <v>Supervisor review of Project Outline</v>
      </c>
      <c r="D7" s="58" t="str">
        <f>Gantt!D16</f>
        <v>Critical</v>
      </c>
      <c r="E7" s="58">
        <f>IF(Gantt!E16="","",Gantt!E16)</f>
        <v>4</v>
      </c>
      <c r="F7" s="58">
        <f>IF(Gantt!F16="","",Gantt!F16)</f>
        <v>5</v>
      </c>
      <c r="G7" s="58">
        <f>IF(Gantt!G16="","",Gantt!G16)</f>
        <v>5</v>
      </c>
      <c r="H7" s="58">
        <f>IF(Gantt!E17="","",Gantt!E17)</f>
        <v>4</v>
      </c>
      <c r="I7" s="58">
        <f>IF(Gantt!F17="","",Gantt!F17)</f>
        <v>5</v>
      </c>
      <c r="J7" s="58">
        <f>IF(Gantt!G17="","",Gantt!G17)</f>
        <v>5</v>
      </c>
      <c r="K7" s="59">
        <f>IF(Gantt!I17="","",Gantt!I17)</f>
        <v>0</v>
      </c>
      <c r="L7" s="55" t="str">
        <f t="shared" si="0"/>
        <v>Done — on time</v>
      </c>
      <c r="M7" s="60" t="s">
        <v>157</v>
      </c>
      <c r="N7" s="60" t="s">
        <v>158</v>
      </c>
    </row>
    <row r="8" spans="1:14" ht="28" x14ac:dyDescent="0.2">
      <c r="A8" s="55" t="s">
        <v>43</v>
      </c>
      <c r="B8" s="56" t="s">
        <v>41</v>
      </c>
      <c r="C8" s="57" t="str">
        <f>Gantt!B20</f>
        <v>Print Synthara remix frame + top deck (Bambu X1, PETG)</v>
      </c>
      <c r="D8" s="58" t="str">
        <f>Gantt!D20</f>
        <v>Critical</v>
      </c>
      <c r="E8" s="58">
        <f>IF(Gantt!E20="","",Gantt!E20)</f>
        <v>4</v>
      </c>
      <c r="F8" s="58">
        <f>IF(Gantt!F20="","",Gantt!F20)</f>
        <v>6</v>
      </c>
      <c r="G8" s="58">
        <f>IF(Gantt!G20="","",Gantt!G20)</f>
        <v>7</v>
      </c>
      <c r="H8" s="58">
        <f>IF(Gantt!E21="","",Gantt!E21)</f>
        <v>8</v>
      </c>
      <c r="I8" s="58">
        <f>IF(Gantt!F21="","",Gantt!F21)</f>
        <v>6</v>
      </c>
      <c r="J8" s="58">
        <f>IF(Gantt!G21="","",Gantt!G21)</f>
        <v>7</v>
      </c>
      <c r="K8" s="59">
        <f>IF(Gantt!I21="","",Gantt!I21)</f>
        <v>0</v>
      </c>
      <c r="L8" s="55" t="str">
        <f t="shared" si="0"/>
        <v>Done — on time</v>
      </c>
      <c r="M8" s="60" t="s">
        <v>159</v>
      </c>
      <c r="N8" s="60" t="s">
        <v>160</v>
      </c>
    </row>
    <row r="9" spans="1:14" ht="28" x14ac:dyDescent="0.2">
      <c r="A9" s="55" t="s">
        <v>45</v>
      </c>
      <c r="B9" s="56" t="s">
        <v>41</v>
      </c>
      <c r="C9" s="57" t="str">
        <f>Gantt!B22</f>
        <v>Bench test stack + motors (props off, Betaflight)</v>
      </c>
      <c r="D9" s="58" t="str">
        <f>Gantt!D22</f>
        <v>Critical</v>
      </c>
      <c r="E9" s="58">
        <f>IF(Gantt!E22="","",Gantt!E22)</f>
        <v>6</v>
      </c>
      <c r="F9" s="58">
        <f>IF(Gantt!F22="","",Gantt!F22)</f>
        <v>6</v>
      </c>
      <c r="G9" s="58">
        <f>IF(Gantt!G22="","",Gantt!G22)</f>
        <v>8</v>
      </c>
      <c r="H9" s="58" t="str">
        <f>IF(Gantt!E23="","",Gantt!E23)</f>
        <v/>
      </c>
      <c r="I9" s="58" t="str">
        <f>IF(Gantt!F23="","",Gantt!F23)</f>
        <v/>
      </c>
      <c r="J9" s="58" t="str">
        <f>IF(Gantt!G23="","",Gantt!G23)</f>
        <v/>
      </c>
      <c r="K9" s="59" t="str">
        <f>IF(Gantt!I23="","",Gantt!I23)</f>
        <v/>
      </c>
      <c r="L9" s="55" t="str">
        <f t="shared" si="0"/>
        <v>Not started</v>
      </c>
      <c r="M9" s="60" t="s">
        <v>161</v>
      </c>
      <c r="N9" s="60" t="s">
        <v>162</v>
      </c>
    </row>
    <row r="10" spans="1:14" x14ac:dyDescent="0.2">
      <c r="A10" s="55" t="s">
        <v>47</v>
      </c>
      <c r="B10" s="56" t="s">
        <v>41</v>
      </c>
      <c r="C10" s="57" t="str">
        <f>Gantt!B24</f>
        <v>Flash ArduPilot (speedybeef4v4) + base config</v>
      </c>
      <c r="D10" s="58" t="str">
        <f>Gantt!D24</f>
        <v>Critical</v>
      </c>
      <c r="E10" s="58">
        <f>IF(Gantt!E24="","",Gantt!E24)</f>
        <v>5</v>
      </c>
      <c r="F10" s="58">
        <f>IF(Gantt!F24="","",Gantt!F24)</f>
        <v>9</v>
      </c>
      <c r="G10" s="58">
        <f>IF(Gantt!G24="","",Gantt!G24)</f>
        <v>10</v>
      </c>
      <c r="H10" s="58" t="str">
        <f>IF(Gantt!E25="","",Gantt!E25)</f>
        <v/>
      </c>
      <c r="I10" s="58" t="str">
        <f>IF(Gantt!F25="","",Gantt!F25)</f>
        <v/>
      </c>
      <c r="J10" s="58" t="str">
        <f>IF(Gantt!G25="","",Gantt!G25)</f>
        <v/>
      </c>
      <c r="K10" s="59" t="str">
        <f>IF(Gantt!I25="","",Gantt!I25)</f>
        <v/>
      </c>
      <c r="L10" s="55" t="str">
        <f t="shared" si="0"/>
        <v>Not started</v>
      </c>
      <c r="M10" s="60" t="s">
        <v>163</v>
      </c>
      <c r="N10" s="60" t="s">
        <v>45</v>
      </c>
    </row>
    <row r="11" spans="1:14" x14ac:dyDescent="0.2">
      <c r="A11" s="55" t="s">
        <v>49</v>
      </c>
      <c r="B11" s="56" t="s">
        <v>41</v>
      </c>
      <c r="C11" s="57" t="str">
        <f>Gantt!B26</f>
        <v>MTF-01 bench test on UART3 (mav-apm)</v>
      </c>
      <c r="D11" s="58" t="str">
        <f>Gantt!D26</f>
        <v>Critical</v>
      </c>
      <c r="E11" s="58">
        <f>IF(Gantt!E26="","",Gantt!E26)</f>
        <v>4</v>
      </c>
      <c r="F11" s="58">
        <f>IF(Gantt!F26="","",Gantt!F26)</f>
        <v>10</v>
      </c>
      <c r="G11" s="58">
        <f>IF(Gantt!G26="","",Gantt!G26)</f>
        <v>11</v>
      </c>
      <c r="H11" s="58" t="str">
        <f>IF(Gantt!E27="","",Gantt!E27)</f>
        <v/>
      </c>
      <c r="I11" s="58" t="str">
        <f>IF(Gantt!F27="","",Gantt!F27)</f>
        <v/>
      </c>
      <c r="J11" s="58" t="str">
        <f>IF(Gantt!G27="","",Gantt!G27)</f>
        <v/>
      </c>
      <c r="K11" s="59" t="str">
        <f>IF(Gantt!I27="","",Gantt!I27)</f>
        <v/>
      </c>
      <c r="L11" s="55" t="str">
        <f t="shared" si="0"/>
        <v>Not started</v>
      </c>
      <c r="M11" s="60" t="s">
        <v>164</v>
      </c>
      <c r="N11" s="60" t="s">
        <v>47</v>
      </c>
    </row>
    <row r="12" spans="1:14" ht="28" x14ac:dyDescent="0.2">
      <c r="A12" s="55" t="s">
        <v>51</v>
      </c>
      <c r="B12" s="56" t="s">
        <v>41</v>
      </c>
      <c r="C12" s="57" t="str">
        <f>Gantt!B28</f>
        <v>ESP32 DroneBridge flash + MAVLink-over-WiFi test</v>
      </c>
      <c r="D12" s="58" t="str">
        <f>Gantt!D28</f>
        <v>Critical</v>
      </c>
      <c r="E12" s="58">
        <f>IF(Gantt!E28="","",Gantt!E28)</f>
        <v>5</v>
      </c>
      <c r="F12" s="58">
        <f>IF(Gantt!F28="","",Gantt!F28)</f>
        <v>11</v>
      </c>
      <c r="G12" s="58">
        <f>IF(Gantt!G28="","",Gantt!G28)</f>
        <v>12</v>
      </c>
      <c r="H12" s="58" t="str">
        <f>IF(Gantt!E29="","",Gantt!E29)</f>
        <v/>
      </c>
      <c r="I12" s="58" t="str">
        <f>IF(Gantt!F29="","",Gantt!F29)</f>
        <v/>
      </c>
      <c r="J12" s="58" t="str">
        <f>IF(Gantt!G29="","",Gantt!G29)</f>
        <v/>
      </c>
      <c r="K12" s="59" t="str">
        <f>IF(Gantt!I29="","",Gantt!I29)</f>
        <v/>
      </c>
      <c r="L12" s="55" t="str">
        <f t="shared" si="0"/>
        <v>Not started</v>
      </c>
      <c r="M12" s="60" t="s">
        <v>165</v>
      </c>
      <c r="N12" s="60" t="s">
        <v>166</v>
      </c>
    </row>
    <row r="13" spans="1:14" x14ac:dyDescent="0.2">
      <c r="A13" s="55" t="s">
        <v>53</v>
      </c>
      <c r="B13" s="56" t="s">
        <v>41</v>
      </c>
      <c r="C13" s="57" t="str">
        <f>Gantt!B30</f>
        <v>Final assembly; weigh AUW, check balance (CG)</v>
      </c>
      <c r="D13" s="58" t="str">
        <f>Gantt!D30</f>
        <v>Critical</v>
      </c>
      <c r="E13" s="58">
        <f>IF(Gantt!E30="","",Gantt!E30)</f>
        <v>6</v>
      </c>
      <c r="F13" s="58">
        <f>IF(Gantt!F30="","",Gantt!F30)</f>
        <v>13</v>
      </c>
      <c r="G13" s="58">
        <f>IF(Gantt!G30="","",Gantt!G30)</f>
        <v>15</v>
      </c>
      <c r="H13" s="58" t="str">
        <f>IF(Gantt!E31="","",Gantt!E31)</f>
        <v/>
      </c>
      <c r="I13" s="58" t="str">
        <f>IF(Gantt!F31="","",Gantt!F31)</f>
        <v/>
      </c>
      <c r="J13" s="58" t="str">
        <f>IF(Gantt!G31="","",Gantt!G31)</f>
        <v/>
      </c>
      <c r="K13" s="59" t="str">
        <f>IF(Gantt!I31="","",Gantt!I31)</f>
        <v/>
      </c>
      <c r="L13" s="55" t="str">
        <f t="shared" si="0"/>
        <v>Not started</v>
      </c>
      <c r="M13" s="60" t="s">
        <v>167</v>
      </c>
      <c r="N13" s="60" t="s">
        <v>168</v>
      </c>
    </row>
    <row r="14" spans="1:14" x14ac:dyDescent="0.2">
      <c r="A14" s="55" t="s">
        <v>57</v>
      </c>
      <c r="B14" s="56" t="s">
        <v>55</v>
      </c>
      <c r="C14" s="57" t="str">
        <f>Gantt!B34</f>
        <v>Pre-flight checks: failsafes + disarm kill-switch test</v>
      </c>
      <c r="D14" s="58" t="str">
        <f>Gantt!D34</f>
        <v>Critical</v>
      </c>
      <c r="E14" s="58">
        <f>IF(Gantt!E34="","",Gantt!E34)</f>
        <v>4</v>
      </c>
      <c r="F14" s="58">
        <f>IF(Gantt!F34="","",Gantt!F34)</f>
        <v>16</v>
      </c>
      <c r="G14" s="58">
        <f>IF(Gantt!G34="","",Gantt!G34)</f>
        <v>16</v>
      </c>
      <c r="H14" s="58" t="str">
        <f>IF(Gantt!E35="","",Gantt!E35)</f>
        <v/>
      </c>
      <c r="I14" s="58" t="str">
        <f>IF(Gantt!F35="","",Gantt!F35)</f>
        <v/>
      </c>
      <c r="J14" s="58" t="str">
        <f>IF(Gantt!G35="","",Gantt!G35)</f>
        <v/>
      </c>
      <c r="K14" s="59" t="str">
        <f>IF(Gantt!I35="","",Gantt!I35)</f>
        <v/>
      </c>
      <c r="L14" s="55" t="str">
        <f t="shared" si="0"/>
        <v>Not started</v>
      </c>
      <c r="M14" s="60" t="s">
        <v>169</v>
      </c>
      <c r="N14" s="60" t="s">
        <v>53</v>
      </c>
    </row>
    <row r="15" spans="1:14" x14ac:dyDescent="0.2">
      <c r="A15" s="55" t="s">
        <v>59</v>
      </c>
      <c r="B15" s="56" t="s">
        <v>55</v>
      </c>
      <c r="C15" s="57" t="str">
        <f>Gantt!B36</f>
        <v>Tethered first hover (Stabilize / AltHold)</v>
      </c>
      <c r="D15" s="58" t="str">
        <f>Gantt!D36</f>
        <v>Critical</v>
      </c>
      <c r="E15" s="58">
        <f>IF(Gantt!E36="","",Gantt!E36)</f>
        <v>6</v>
      </c>
      <c r="F15" s="58">
        <f>IF(Gantt!F36="","",Gantt!F36)</f>
        <v>17</v>
      </c>
      <c r="G15" s="58">
        <f>IF(Gantt!G36="","",Gantt!G36)</f>
        <v>18</v>
      </c>
      <c r="H15" s="58" t="str">
        <f>IF(Gantt!E37="","",Gantt!E37)</f>
        <v/>
      </c>
      <c r="I15" s="58" t="str">
        <f>IF(Gantt!F37="","",Gantt!F37)</f>
        <v/>
      </c>
      <c r="J15" s="58" t="str">
        <f>IF(Gantt!G37="","",Gantt!G37)</f>
        <v/>
      </c>
      <c r="K15" s="59" t="str">
        <f>IF(Gantt!I37="","",Gantt!I37)</f>
        <v/>
      </c>
      <c r="L15" s="55" t="str">
        <f t="shared" si="0"/>
        <v>Not started</v>
      </c>
      <c r="M15" s="60" t="s">
        <v>170</v>
      </c>
      <c r="N15" s="60" t="s">
        <v>171</v>
      </c>
    </row>
    <row r="16" spans="1:14" x14ac:dyDescent="0.2">
      <c r="A16" s="55" t="s">
        <v>61</v>
      </c>
      <c r="B16" s="56" t="s">
        <v>55</v>
      </c>
      <c r="C16" s="57" t="str">
        <f>Gantt!B38</f>
        <v>Basic PID tune + log review</v>
      </c>
      <c r="D16" s="58" t="str">
        <f>Gantt!D38</f>
        <v>Critical</v>
      </c>
      <c r="E16" s="58">
        <f>IF(Gantt!E38="","",Gantt!E38)</f>
        <v>5</v>
      </c>
      <c r="F16" s="58">
        <f>IF(Gantt!F38="","",Gantt!F38)</f>
        <v>19</v>
      </c>
      <c r="G16" s="58">
        <f>IF(Gantt!G38="","",Gantt!G38)</f>
        <v>20</v>
      </c>
      <c r="H16" s="58" t="str">
        <f>IF(Gantt!E39="","",Gantt!E39)</f>
        <v/>
      </c>
      <c r="I16" s="58" t="str">
        <f>IF(Gantt!F39="","",Gantt!F39)</f>
        <v/>
      </c>
      <c r="J16" s="58" t="str">
        <f>IF(Gantt!G39="","",Gantt!G39)</f>
        <v/>
      </c>
      <c r="K16" s="59" t="str">
        <f>IF(Gantt!I39="","",Gantt!I39)</f>
        <v/>
      </c>
      <c r="L16" s="55" t="str">
        <f t="shared" si="0"/>
        <v>Not started</v>
      </c>
      <c r="M16" s="60" t="s">
        <v>172</v>
      </c>
      <c r="N16" s="60"/>
    </row>
    <row r="17" spans="1:14" x14ac:dyDescent="0.2">
      <c r="A17" s="55" t="s">
        <v>66</v>
      </c>
      <c r="B17" s="56" t="s">
        <v>64</v>
      </c>
      <c r="C17" s="57" t="str">
        <f>Gantt!B42</f>
        <v>EKF setup for flow + rangefinder (no GPS), sensor offsets</v>
      </c>
      <c r="D17" s="58" t="str">
        <f>Gantt!D42</f>
        <v>Critical</v>
      </c>
      <c r="E17" s="58">
        <f>IF(Gantt!E42="","",Gantt!E42)</f>
        <v>6</v>
      </c>
      <c r="F17" s="58">
        <f>IF(Gantt!F42="","",Gantt!F42)</f>
        <v>21</v>
      </c>
      <c r="G17" s="58">
        <f>IF(Gantt!G42="","",Gantt!G42)</f>
        <v>22</v>
      </c>
      <c r="H17" s="58" t="str">
        <f>IF(Gantt!E43="","",Gantt!E43)</f>
        <v/>
      </c>
      <c r="I17" s="58" t="str">
        <f>IF(Gantt!F43="","",Gantt!F43)</f>
        <v/>
      </c>
      <c r="J17" s="58" t="str">
        <f>IF(Gantt!G43="","",Gantt!G43)</f>
        <v/>
      </c>
      <c r="K17" s="59" t="str">
        <f>IF(Gantt!I43="","",Gantt!I43)</f>
        <v/>
      </c>
      <c r="L17" s="55" t="str">
        <f t="shared" si="0"/>
        <v>Not started</v>
      </c>
      <c r="M17" s="60" t="s">
        <v>173</v>
      </c>
      <c r="N17" s="60" t="s">
        <v>49</v>
      </c>
    </row>
    <row r="18" spans="1:14" x14ac:dyDescent="0.2">
      <c r="A18" s="55" t="s">
        <v>68</v>
      </c>
      <c r="B18" s="56" t="s">
        <v>64</v>
      </c>
      <c r="C18" s="57" t="str">
        <f>Gantt!B44</f>
        <v>Optical-flow calibration flight + scale factors</v>
      </c>
      <c r="D18" s="58" t="str">
        <f>Gantt!D44</f>
        <v>Critical</v>
      </c>
      <c r="E18" s="58">
        <f>IF(Gantt!E44="","",Gantt!E44)</f>
        <v>8</v>
      </c>
      <c r="F18" s="58">
        <f>IF(Gantt!F44="","",Gantt!F44)</f>
        <v>23</v>
      </c>
      <c r="G18" s="58">
        <f>IF(Gantt!G44="","",Gantt!G44)</f>
        <v>25</v>
      </c>
      <c r="H18" s="58" t="str">
        <f>IF(Gantt!E45="","",Gantt!E45)</f>
        <v/>
      </c>
      <c r="I18" s="58" t="str">
        <f>IF(Gantt!F45="","",Gantt!F45)</f>
        <v/>
      </c>
      <c r="J18" s="58" t="str">
        <f>IF(Gantt!G45="","",Gantt!G45)</f>
        <v/>
      </c>
      <c r="K18" s="59" t="str">
        <f>IF(Gantt!I45="","",Gantt!I45)</f>
        <v/>
      </c>
      <c r="L18" s="55" t="str">
        <f t="shared" si="0"/>
        <v>Not started</v>
      </c>
      <c r="M18" s="60" t="s">
        <v>174</v>
      </c>
      <c r="N18" s="60"/>
    </row>
    <row r="19" spans="1:14" x14ac:dyDescent="0.2">
      <c r="A19" s="55" t="s">
        <v>70</v>
      </c>
      <c r="B19" s="56" t="s">
        <v>64</v>
      </c>
      <c r="C19" s="57" t="str">
        <f>Gantt!B46</f>
        <v>Loiter position-hold trials + tuning</v>
      </c>
      <c r="D19" s="58" t="str">
        <f>Gantt!D46</f>
        <v>Critical</v>
      </c>
      <c r="E19" s="58">
        <f>IF(Gantt!E46="","",Gantt!E46)</f>
        <v>12</v>
      </c>
      <c r="F19" s="58">
        <f>IF(Gantt!F46="","",Gantt!F46)</f>
        <v>26</v>
      </c>
      <c r="G19" s="58">
        <f>IF(Gantt!G46="","",Gantt!G46)</f>
        <v>29</v>
      </c>
      <c r="H19" s="58" t="str">
        <f>IF(Gantt!E47="","",Gantt!E47)</f>
        <v/>
      </c>
      <c r="I19" s="58" t="str">
        <f>IF(Gantt!F47="","",Gantt!F47)</f>
        <v/>
      </c>
      <c r="J19" s="58" t="str">
        <f>IF(Gantt!G47="","",Gantt!G47)</f>
        <v/>
      </c>
      <c r="K19" s="59" t="str">
        <f>IF(Gantt!I47="","",Gantt!I47)</f>
        <v/>
      </c>
      <c r="L19" s="55" t="str">
        <f t="shared" si="0"/>
        <v>Not started</v>
      </c>
      <c r="M19" s="60" t="s">
        <v>175</v>
      </c>
      <c r="N19" s="60"/>
    </row>
    <row r="20" spans="1:14" x14ac:dyDescent="0.2">
      <c r="A20" s="55" t="s">
        <v>72</v>
      </c>
      <c r="B20" s="56" t="s">
        <v>64</v>
      </c>
      <c r="C20" s="57" t="str">
        <f>Gantt!B48</f>
        <v>Repeatability: 5 hold trials, record drift</v>
      </c>
      <c r="D20" s="58" t="str">
        <f>Gantt!D48</f>
        <v>Critical</v>
      </c>
      <c r="E20" s="58">
        <f>IF(Gantt!E48="","",Gantt!E48)</f>
        <v>4</v>
      </c>
      <c r="F20" s="58">
        <f>IF(Gantt!F48="","",Gantt!F48)</f>
        <v>30</v>
      </c>
      <c r="G20" s="58">
        <f>IF(Gantt!G48="","",Gantt!G48)</f>
        <v>30</v>
      </c>
      <c r="H20" s="58" t="str">
        <f>IF(Gantt!E49="","",Gantt!E49)</f>
        <v/>
      </c>
      <c r="I20" s="58" t="str">
        <f>IF(Gantt!F49="","",Gantt!F49)</f>
        <v/>
      </c>
      <c r="J20" s="58" t="str">
        <f>IF(Gantt!G49="","",Gantt!G49)</f>
        <v/>
      </c>
      <c r="K20" s="59" t="str">
        <f>IF(Gantt!I49="","",Gantt!I49)</f>
        <v/>
      </c>
      <c r="L20" s="55" t="str">
        <f t="shared" si="0"/>
        <v>Not started</v>
      </c>
      <c r="M20" s="60" t="s">
        <v>176</v>
      </c>
      <c r="N20" s="60"/>
    </row>
    <row r="21" spans="1:14" x14ac:dyDescent="0.2">
      <c r="A21" s="55" t="s">
        <v>77</v>
      </c>
      <c r="B21" s="56" t="s">
        <v>75</v>
      </c>
      <c r="C21" s="57" t="str">
        <f>Gantt!B52</f>
        <v>Single voice commands on real drone (tethered)</v>
      </c>
      <c r="D21" s="58" t="str">
        <f>Gantt!D52</f>
        <v>Critical</v>
      </c>
      <c r="E21" s="58">
        <f>IF(Gantt!E52="","",Gantt!E52)</f>
        <v>6</v>
      </c>
      <c r="F21" s="58">
        <f>IF(Gantt!F52="","",Gantt!F52)</f>
        <v>31</v>
      </c>
      <c r="G21" s="58">
        <f>IF(Gantt!G52="","",Gantt!G52)</f>
        <v>32</v>
      </c>
      <c r="H21" s="58" t="str">
        <f>IF(Gantt!E53="","",Gantt!E53)</f>
        <v/>
      </c>
      <c r="I21" s="58" t="str">
        <f>IF(Gantt!F53="","",Gantt!F53)</f>
        <v/>
      </c>
      <c r="J21" s="58" t="str">
        <f>IF(Gantt!G53="","",Gantt!G53)</f>
        <v/>
      </c>
      <c r="K21" s="59" t="str">
        <f>IF(Gantt!I53="","",Gantt!I53)</f>
        <v/>
      </c>
      <c r="L21" s="55" t="str">
        <f t="shared" si="0"/>
        <v>Not started</v>
      </c>
      <c r="M21" s="60" t="s">
        <v>177</v>
      </c>
      <c r="N21" s="60" t="s">
        <v>178</v>
      </c>
    </row>
    <row r="22" spans="1:14" x14ac:dyDescent="0.2">
      <c r="A22" s="55" t="s">
        <v>79</v>
      </c>
      <c r="B22" s="56" t="s">
        <v>75</v>
      </c>
      <c r="C22" s="57" t="str">
        <f>Gantt!B54</f>
        <v>Command sequence: take off, move 1 m, land</v>
      </c>
      <c r="D22" s="58" t="str">
        <f>Gantt!D54</f>
        <v>Critical</v>
      </c>
      <c r="E22" s="58">
        <f>IF(Gantt!E54="","",Gantt!E54)</f>
        <v>9</v>
      </c>
      <c r="F22" s="58">
        <f>IF(Gantt!F54="","",Gantt!F54)</f>
        <v>33</v>
      </c>
      <c r="G22" s="58">
        <f>IF(Gantt!G54="","",Gantt!G54)</f>
        <v>35</v>
      </c>
      <c r="H22" s="58" t="str">
        <f>IF(Gantt!E55="","",Gantt!E55)</f>
        <v/>
      </c>
      <c r="I22" s="58" t="str">
        <f>IF(Gantt!F55="","",Gantt!F55)</f>
        <v/>
      </c>
      <c r="J22" s="58" t="str">
        <f>IF(Gantt!G55="","",Gantt!G55)</f>
        <v/>
      </c>
      <c r="K22" s="59" t="str">
        <f>IF(Gantt!I55="","",Gantt!I55)</f>
        <v/>
      </c>
      <c r="L22" s="55" t="str">
        <f t="shared" si="0"/>
        <v>Not started</v>
      </c>
      <c r="M22" s="60" t="s">
        <v>179</v>
      </c>
      <c r="N22" s="60"/>
    </row>
    <row r="23" spans="1:14" x14ac:dyDescent="0.2">
      <c r="A23" s="55" t="s">
        <v>85</v>
      </c>
      <c r="B23" s="56" t="s">
        <v>83</v>
      </c>
      <c r="C23" s="57" t="str">
        <f>Gantt!B59</f>
        <v>Install ArduPilot SITL + QGroundControl / MAVProxy</v>
      </c>
      <c r="D23" s="58" t="str">
        <f>Gantt!D59</f>
        <v>Parallel</v>
      </c>
      <c r="E23" s="58">
        <f>IF(Gantt!E59="","",Gantt!E59)</f>
        <v>5</v>
      </c>
      <c r="F23" s="58">
        <f>IF(Gantt!F59="","",Gantt!F59)</f>
        <v>8</v>
      </c>
      <c r="G23" s="58">
        <f>IF(Gantt!G59="","",Gantt!G59)</f>
        <v>8</v>
      </c>
      <c r="H23" s="58">
        <f>IF(Gantt!E60="","",Gantt!E60)</f>
        <v>5</v>
      </c>
      <c r="I23" s="58">
        <f>IF(Gantt!F60="","",Gantt!F60)</f>
        <v>8</v>
      </c>
      <c r="J23" s="58">
        <f>IF(Gantt!G60="","",Gantt!G60)</f>
        <v>8</v>
      </c>
      <c r="K23" s="59">
        <f>IF(Gantt!I60="","",Gantt!I60)</f>
        <v>0</v>
      </c>
      <c r="L23" s="55" t="str">
        <f t="shared" si="0"/>
        <v>Done — on time</v>
      </c>
      <c r="M23" s="60" t="s">
        <v>180</v>
      </c>
      <c r="N23" s="60"/>
    </row>
    <row r="24" spans="1:14" x14ac:dyDescent="0.2">
      <c r="A24" s="55" t="s">
        <v>88</v>
      </c>
      <c r="B24" s="56" t="s">
        <v>83</v>
      </c>
      <c r="C24" s="57" t="str">
        <f>Gantt!B61</f>
        <v>pymavlink script: arm, take off, land</v>
      </c>
      <c r="D24" s="58" t="str">
        <f>Gantt!D61</f>
        <v>Parallel</v>
      </c>
      <c r="E24" s="58">
        <f>IF(Gantt!E61="","",Gantt!E61)</f>
        <v>7</v>
      </c>
      <c r="F24" s="58">
        <f>IF(Gantt!F61="","",Gantt!F61)</f>
        <v>3</v>
      </c>
      <c r="G24" s="58">
        <f>IF(Gantt!G61="","",Gantt!G61)</f>
        <v>5</v>
      </c>
      <c r="H24" s="58" t="str">
        <f>IF(Gantt!E62="","",Gantt!E62)</f>
        <v/>
      </c>
      <c r="I24" s="58" t="str">
        <f>IF(Gantt!F62="","",Gantt!F62)</f>
        <v/>
      </c>
      <c r="J24" s="58" t="str">
        <f>IF(Gantt!G62="","",Gantt!G62)</f>
        <v/>
      </c>
      <c r="K24" s="59" t="str">
        <f>IF(Gantt!I62="","",Gantt!I62)</f>
        <v/>
      </c>
      <c r="L24" s="55" t="str">
        <f t="shared" si="0"/>
        <v>Not started</v>
      </c>
      <c r="M24" s="60" t="s">
        <v>181</v>
      </c>
      <c r="N24" s="60"/>
    </row>
    <row r="25" spans="1:14" x14ac:dyDescent="0.2">
      <c r="A25" s="55" t="s">
        <v>92</v>
      </c>
      <c r="B25" s="56" t="s">
        <v>90</v>
      </c>
      <c r="C25" s="57" t="str">
        <f>Gantt!B65</f>
        <v>Define command grammar + 30-command test corpus</v>
      </c>
      <c r="D25" s="58" t="str">
        <f>Gantt!D65</f>
        <v>Parallel</v>
      </c>
      <c r="E25" s="58">
        <f>IF(Gantt!E65="","",Gantt!E65)</f>
        <v>5</v>
      </c>
      <c r="F25" s="58">
        <f>IF(Gantt!F65="","",Gantt!F65)</f>
        <v>6</v>
      </c>
      <c r="G25" s="58">
        <f>IF(Gantt!G65="","",Gantt!G65)</f>
        <v>7</v>
      </c>
      <c r="H25" s="58" t="str">
        <f>IF(Gantt!E66="","",Gantt!E66)</f>
        <v/>
      </c>
      <c r="I25" s="58" t="str">
        <f>IF(Gantt!F66="","",Gantt!F66)</f>
        <v/>
      </c>
      <c r="J25" s="58" t="str">
        <f>IF(Gantt!G66="","",Gantt!G66)</f>
        <v/>
      </c>
      <c r="K25" s="59" t="str">
        <f>IF(Gantt!I66="","",Gantt!I66)</f>
        <v/>
      </c>
      <c r="L25" s="55" t="str">
        <f t="shared" si="0"/>
        <v>Not started</v>
      </c>
      <c r="M25" s="60" t="s">
        <v>182</v>
      </c>
      <c r="N25" s="60"/>
    </row>
    <row r="26" spans="1:14" x14ac:dyDescent="0.2">
      <c r="A26" s="55" t="s">
        <v>94</v>
      </c>
      <c r="B26" s="56" t="s">
        <v>90</v>
      </c>
      <c r="C26" s="57" t="str">
        <f>Gantt!B67</f>
        <v>Whisper vs Vosk: word error rate on corpus</v>
      </c>
      <c r="D26" s="58" t="str">
        <f>Gantt!D67</f>
        <v>Parallel</v>
      </c>
      <c r="E26" s="58">
        <f>IF(Gantt!E67="","",Gantt!E67)</f>
        <v>8</v>
      </c>
      <c r="F26" s="58">
        <f>IF(Gantt!F67="","",Gantt!F67)</f>
        <v>8</v>
      </c>
      <c r="G26" s="58">
        <f>IF(Gantt!G67="","",Gantt!G67)</f>
        <v>10</v>
      </c>
      <c r="H26" s="58" t="str">
        <f>IF(Gantt!E68="","",Gantt!E68)</f>
        <v/>
      </c>
      <c r="I26" s="58" t="str">
        <f>IF(Gantt!F68="","",Gantt!F68)</f>
        <v/>
      </c>
      <c r="J26" s="58" t="str">
        <f>IF(Gantt!G68="","",Gantt!G68)</f>
        <v/>
      </c>
      <c r="K26" s="59" t="str">
        <f>IF(Gantt!I68="","",Gantt!I68)</f>
        <v/>
      </c>
      <c r="L26" s="55" t="str">
        <f t="shared" si="0"/>
        <v>Not started</v>
      </c>
      <c r="M26" s="60" t="s">
        <v>183</v>
      </c>
      <c r="N26" s="60"/>
    </row>
    <row r="27" spans="1:14" x14ac:dyDescent="0.2">
      <c r="A27" s="55" t="s">
        <v>96</v>
      </c>
      <c r="B27" s="56" t="s">
        <v>90</v>
      </c>
      <c r="C27" s="57" t="str">
        <f>Gantt!B69</f>
        <v>Rule-based intent parser (takeoff/move/rotate/hold/land)</v>
      </c>
      <c r="D27" s="58" t="str">
        <f>Gantt!D69</f>
        <v>Parallel</v>
      </c>
      <c r="E27" s="58">
        <f>IF(Gantt!E69="","",Gantt!E69)</f>
        <v>8</v>
      </c>
      <c r="F27" s="58">
        <f>IF(Gantt!F69="","",Gantt!F69)</f>
        <v>11</v>
      </c>
      <c r="G27" s="58">
        <f>IF(Gantt!G69="","",Gantt!G69)</f>
        <v>13</v>
      </c>
      <c r="H27" s="58" t="str">
        <f>IF(Gantt!E70="","",Gantt!E70)</f>
        <v/>
      </c>
      <c r="I27" s="58" t="str">
        <f>IF(Gantt!F70="","",Gantt!F70)</f>
        <v/>
      </c>
      <c r="J27" s="58" t="str">
        <f>IF(Gantt!G70="","",Gantt!G70)</f>
        <v/>
      </c>
      <c r="K27" s="59" t="str">
        <f>IF(Gantt!I70="","",Gantt!I70)</f>
        <v/>
      </c>
      <c r="L27" s="55" t="str">
        <f t="shared" si="0"/>
        <v>Not started</v>
      </c>
      <c r="M27" s="60" t="s">
        <v>184</v>
      </c>
      <c r="N27" s="60" t="s">
        <v>92</v>
      </c>
    </row>
    <row r="28" spans="1:14" x14ac:dyDescent="0.2">
      <c r="A28" s="55" t="s">
        <v>98</v>
      </c>
      <c r="B28" s="56" t="s">
        <v>90</v>
      </c>
      <c r="C28" s="57" t="str">
        <f>Gantt!B71</f>
        <v>Live mic -&gt; intent end-to-end test</v>
      </c>
      <c r="D28" s="58" t="str">
        <f>Gantt!D71</f>
        <v>Parallel</v>
      </c>
      <c r="E28" s="58">
        <f>IF(Gantt!E71="","",Gantt!E71)</f>
        <v>4</v>
      </c>
      <c r="F28" s="58">
        <f>IF(Gantt!F71="","",Gantt!F71)</f>
        <v>14</v>
      </c>
      <c r="G28" s="58">
        <f>IF(Gantt!G71="","",Gantt!G71)</f>
        <v>15</v>
      </c>
      <c r="H28" s="58" t="str">
        <f>IF(Gantt!E72="","",Gantt!E72)</f>
        <v/>
      </c>
      <c r="I28" s="58" t="str">
        <f>IF(Gantt!F72="","",Gantt!F72)</f>
        <v/>
      </c>
      <c r="J28" s="58" t="str">
        <f>IF(Gantt!G72="","",Gantt!G72)</f>
        <v/>
      </c>
      <c r="K28" s="59" t="str">
        <f>IF(Gantt!I72="","",Gantt!I72)</f>
        <v/>
      </c>
      <c r="L28" s="55" t="str">
        <f t="shared" si="0"/>
        <v>Not started</v>
      </c>
      <c r="M28" s="60" t="s">
        <v>185</v>
      </c>
      <c r="N28" s="60" t="s">
        <v>186</v>
      </c>
    </row>
    <row r="29" spans="1:14" x14ac:dyDescent="0.2">
      <c r="A29" s="55" t="s">
        <v>102</v>
      </c>
      <c r="B29" s="56" t="s">
        <v>100</v>
      </c>
      <c r="C29" s="57" t="str">
        <f>Gantt!B75</f>
        <v>Command validator + safety limits</v>
      </c>
      <c r="D29" s="58" t="str">
        <f>Gantt!D75</f>
        <v>Parallel</v>
      </c>
      <c r="E29" s="58">
        <f>IF(Gantt!E75="","",Gantt!E75)</f>
        <v>6</v>
      </c>
      <c r="F29" s="58">
        <f>IF(Gantt!F75="","",Gantt!F75)</f>
        <v>16</v>
      </c>
      <c r="G29" s="58">
        <f>IF(Gantt!G75="","",Gantt!G75)</f>
        <v>17</v>
      </c>
      <c r="H29" s="58" t="str">
        <f>IF(Gantt!E76="","",Gantt!E76)</f>
        <v/>
      </c>
      <c r="I29" s="58" t="str">
        <f>IF(Gantt!F76="","",Gantt!F76)</f>
        <v/>
      </c>
      <c r="J29" s="58" t="str">
        <f>IF(Gantt!G76="","",Gantt!G76)</f>
        <v/>
      </c>
      <c r="K29" s="59" t="str">
        <f>IF(Gantt!I76="","",Gantt!I76)</f>
        <v/>
      </c>
      <c r="L29" s="55" t="str">
        <f t="shared" si="0"/>
        <v>Not started</v>
      </c>
      <c r="M29" s="60" t="s">
        <v>187</v>
      </c>
      <c r="N29" s="60" t="s">
        <v>96</v>
      </c>
    </row>
    <row r="30" spans="1:14" x14ac:dyDescent="0.2">
      <c r="A30" s="55" t="s">
        <v>104</v>
      </c>
      <c r="B30" s="56" t="s">
        <v>100</v>
      </c>
      <c r="C30" s="57" t="str">
        <f>Gantt!B77</f>
        <v>Intent -&gt; MAVLink guided-mode mapping</v>
      </c>
      <c r="D30" s="58" t="str">
        <f>Gantt!D77</f>
        <v>Parallel</v>
      </c>
      <c r="E30" s="58">
        <f>IF(Gantt!E77="","",Gantt!E77)</f>
        <v>8</v>
      </c>
      <c r="F30" s="58">
        <f>IF(Gantt!F77="","",Gantt!F77)</f>
        <v>17</v>
      </c>
      <c r="G30" s="58">
        <f>IF(Gantt!G77="","",Gantt!G77)</f>
        <v>19</v>
      </c>
      <c r="H30" s="58" t="str">
        <f>IF(Gantt!E78="","",Gantt!E78)</f>
        <v/>
      </c>
      <c r="I30" s="58" t="str">
        <f>IF(Gantt!F78="","",Gantt!F78)</f>
        <v/>
      </c>
      <c r="J30" s="58" t="str">
        <f>IF(Gantt!G78="","",Gantt!G78)</f>
        <v/>
      </c>
      <c r="K30" s="59" t="str">
        <f>IF(Gantt!I78="","",Gantt!I78)</f>
        <v/>
      </c>
      <c r="L30" s="55" t="str">
        <f t="shared" si="0"/>
        <v>Not started</v>
      </c>
      <c r="M30" s="60" t="s">
        <v>188</v>
      </c>
      <c r="N30" s="60" t="s">
        <v>88</v>
      </c>
    </row>
    <row r="31" spans="1:14" x14ac:dyDescent="0.2">
      <c r="A31" s="55" t="s">
        <v>106</v>
      </c>
      <c r="B31" s="56" t="s">
        <v>100</v>
      </c>
      <c r="C31" s="57" t="str">
        <f>Gantt!B79</f>
        <v>Spoken command drives SITL flight end-to-end</v>
      </c>
      <c r="D31" s="58" t="str">
        <f>Gantt!D79</f>
        <v>Parallel</v>
      </c>
      <c r="E31" s="58">
        <f>IF(Gantt!E79="","",Gantt!E79)</f>
        <v>4</v>
      </c>
      <c r="F31" s="58">
        <f>IF(Gantt!F79="","",Gantt!F79)</f>
        <v>20</v>
      </c>
      <c r="G31" s="58">
        <f>IF(Gantt!G79="","",Gantt!G79)</f>
        <v>20</v>
      </c>
      <c r="H31" s="58" t="str">
        <f>IF(Gantt!E80="","",Gantt!E80)</f>
        <v/>
      </c>
      <c r="I31" s="58" t="str">
        <f>IF(Gantt!F80="","",Gantt!F80)</f>
        <v/>
      </c>
      <c r="J31" s="58" t="str">
        <f>IF(Gantt!G80="","",Gantt!G80)</f>
        <v/>
      </c>
      <c r="K31" s="59" t="str">
        <f>IF(Gantt!I80="","",Gantt!I80)</f>
        <v/>
      </c>
      <c r="L31" s="55" t="str">
        <f t="shared" si="0"/>
        <v>Not started</v>
      </c>
      <c r="M31" s="60" t="s">
        <v>189</v>
      </c>
      <c r="N31" s="60"/>
    </row>
    <row r="32" spans="1:14" x14ac:dyDescent="0.2">
      <c r="A32" s="55" t="s">
        <v>111</v>
      </c>
      <c r="B32" s="56" t="s">
        <v>109</v>
      </c>
      <c r="C32" s="57" t="str">
        <f>Gantt!B83</f>
        <v>LLM-based parser behind the same interface</v>
      </c>
      <c r="D32" s="58" t="str">
        <f>Gantt!D83</f>
        <v>Parallel</v>
      </c>
      <c r="E32" s="58">
        <f>IF(Gantt!E83="","",Gantt!E83)</f>
        <v>8</v>
      </c>
      <c r="F32" s="58">
        <f>IF(Gantt!F83="","",Gantt!F83)</f>
        <v>31</v>
      </c>
      <c r="G32" s="58">
        <f>IF(Gantt!G83="","",Gantt!G83)</f>
        <v>34</v>
      </c>
      <c r="H32" s="58" t="str">
        <f>IF(Gantt!E84="","",Gantt!E84)</f>
        <v/>
      </c>
      <c r="I32" s="58" t="str">
        <f>IF(Gantt!F84="","",Gantt!F84)</f>
        <v/>
      </c>
      <c r="J32" s="58" t="str">
        <f>IF(Gantt!G84="","",Gantt!G84)</f>
        <v/>
      </c>
      <c r="K32" s="59" t="str">
        <f>IF(Gantt!I84="","",Gantt!I84)</f>
        <v/>
      </c>
      <c r="L32" s="55" t="str">
        <f t="shared" si="0"/>
        <v>Not started</v>
      </c>
      <c r="M32" s="60" t="s">
        <v>190</v>
      </c>
      <c r="N32" s="60" t="s">
        <v>191</v>
      </c>
    </row>
    <row r="33" spans="1:14" x14ac:dyDescent="0.2">
      <c r="A33" s="55" t="s">
        <v>113</v>
      </c>
      <c r="B33" s="56" t="s">
        <v>109</v>
      </c>
      <c r="C33" s="57" t="str">
        <f>Gantt!B85</f>
        <v>Compare parsers: accuracy, latency, robustness</v>
      </c>
      <c r="D33" s="58" t="str">
        <f>Gantt!D85</f>
        <v>Parallel</v>
      </c>
      <c r="E33" s="58">
        <f>IF(Gantt!E85="","",Gantt!E85)</f>
        <v>8</v>
      </c>
      <c r="F33" s="58">
        <f>IF(Gantt!F85="","",Gantt!F85)</f>
        <v>35</v>
      </c>
      <c r="G33" s="58">
        <f>IF(Gantt!G85="","",Gantt!G85)</f>
        <v>38</v>
      </c>
      <c r="H33" s="58" t="str">
        <f>IF(Gantt!E86="","",Gantt!E86)</f>
        <v/>
      </c>
      <c r="I33" s="58" t="str">
        <f>IF(Gantt!F86="","",Gantt!F86)</f>
        <v/>
      </c>
      <c r="J33" s="58" t="str">
        <f>IF(Gantt!G86="","",Gantt!G86)</f>
        <v/>
      </c>
      <c r="K33" s="59" t="str">
        <f>IF(Gantt!I86="","",Gantt!I86)</f>
        <v/>
      </c>
      <c r="L33" s="55" t="str">
        <f t="shared" si="0"/>
        <v>Not started</v>
      </c>
      <c r="M33" s="60" t="s">
        <v>192</v>
      </c>
      <c r="N33" s="60"/>
    </row>
    <row r="34" spans="1:14" x14ac:dyDescent="0.2">
      <c r="A34" s="55" t="s">
        <v>115</v>
      </c>
      <c r="B34" s="56" t="s">
        <v>109</v>
      </c>
      <c r="C34" s="57" t="str">
        <f>Gantt!B87</f>
        <v>Results tables + plots for the report</v>
      </c>
      <c r="D34" s="58" t="str">
        <f>Gantt!D87</f>
        <v>Parallel</v>
      </c>
      <c r="E34" s="58">
        <f>IF(Gantt!E87="","",Gantt!E87)</f>
        <v>4</v>
      </c>
      <c r="F34" s="58">
        <f>IF(Gantt!F87="","",Gantt!F87)</f>
        <v>39</v>
      </c>
      <c r="G34" s="58">
        <f>IF(Gantt!G87="","",Gantt!G87)</f>
        <v>40</v>
      </c>
      <c r="H34" s="58" t="str">
        <f>IF(Gantt!E88="","",Gantt!E88)</f>
        <v/>
      </c>
      <c r="I34" s="58" t="str">
        <f>IF(Gantt!F88="","",Gantt!F88)</f>
        <v/>
      </c>
      <c r="J34" s="58" t="str">
        <f>IF(Gantt!G88="","",Gantt!G88)</f>
        <v/>
      </c>
      <c r="K34" s="59" t="str">
        <f>IF(Gantt!I88="","",Gantt!I88)</f>
        <v/>
      </c>
      <c r="L34" s="55" t="str">
        <f t="shared" si="0"/>
        <v>Not started</v>
      </c>
      <c r="M34" s="60" t="s">
        <v>193</v>
      </c>
      <c r="N34" s="60"/>
    </row>
    <row r="35" spans="1:14" x14ac:dyDescent="0.2">
      <c r="A35" s="55" t="s">
        <v>120</v>
      </c>
      <c r="B35" s="56" t="s">
        <v>118</v>
      </c>
      <c r="C35" s="57" t="str">
        <f>Gantt!B92</f>
        <v>Movement-accuracy trials against floor markers</v>
      </c>
      <c r="D35" s="58" t="str">
        <f>Gantt!D92</f>
        <v>Critical</v>
      </c>
      <c r="E35" s="58">
        <f>IF(Gantt!E92="","",Gantt!E92)</f>
        <v>6</v>
      </c>
      <c r="F35" s="58">
        <f>IF(Gantt!F92="","",Gantt!F92)</f>
        <v>36</v>
      </c>
      <c r="G35" s="58">
        <f>IF(Gantt!G92="","",Gantt!G92)</f>
        <v>39</v>
      </c>
      <c r="H35" s="58" t="str">
        <f>IF(Gantt!E93="","",Gantt!E93)</f>
        <v/>
      </c>
      <c r="I35" s="58" t="str">
        <f>IF(Gantt!F93="","",Gantt!F93)</f>
        <v/>
      </c>
      <c r="J35" s="58" t="str">
        <f>IF(Gantt!G93="","",Gantt!G93)</f>
        <v/>
      </c>
      <c r="K35" s="59" t="str">
        <f>IF(Gantt!I93="","",Gantt!I93)</f>
        <v/>
      </c>
      <c r="L35" s="55" t="str">
        <f t="shared" si="0"/>
        <v>Not started</v>
      </c>
      <c r="M35" s="60" t="s">
        <v>194</v>
      </c>
      <c r="N35" s="60" t="s">
        <v>79</v>
      </c>
    </row>
    <row r="36" spans="1:14" x14ac:dyDescent="0.2">
      <c r="A36" s="55" t="s">
        <v>122</v>
      </c>
      <c r="B36" s="56" t="s">
        <v>118</v>
      </c>
      <c r="C36" s="57" t="str">
        <f>Gantt!B94</f>
        <v>End-to-end latency measurement (voice -&gt; motion)</v>
      </c>
      <c r="D36" s="58" t="str">
        <f>Gantt!D94</f>
        <v>Critical</v>
      </c>
      <c r="E36" s="58">
        <f>IF(Gantt!E94="","",Gantt!E94)</f>
        <v>4</v>
      </c>
      <c r="F36" s="58">
        <f>IF(Gantt!F94="","",Gantt!F94)</f>
        <v>40</v>
      </c>
      <c r="G36" s="58">
        <f>IF(Gantt!G94="","",Gantt!G94)</f>
        <v>41</v>
      </c>
      <c r="H36" s="58" t="str">
        <f>IF(Gantt!E95="","",Gantt!E95)</f>
        <v/>
      </c>
      <c r="I36" s="58" t="str">
        <f>IF(Gantt!F95="","",Gantt!F95)</f>
        <v/>
      </c>
      <c r="J36" s="58" t="str">
        <f>IF(Gantt!G95="","",Gantt!G95)</f>
        <v/>
      </c>
      <c r="K36" s="59" t="str">
        <f>IF(Gantt!I95="","",Gantt!I95)</f>
        <v/>
      </c>
      <c r="L36" s="55" t="str">
        <f t="shared" si="0"/>
        <v>Not started</v>
      </c>
      <c r="M36" s="60" t="s">
        <v>195</v>
      </c>
      <c r="N36" s="60"/>
    </row>
    <row r="37" spans="1:14" x14ac:dyDescent="0.2">
      <c r="A37" s="55" t="s">
        <v>124</v>
      </c>
      <c r="B37" s="56" t="s">
        <v>118</v>
      </c>
      <c r="C37" s="57" t="str">
        <f>Gantt!B96</f>
        <v>Write report: method, results, evaluation</v>
      </c>
      <c r="D37" s="58" t="str">
        <f>Gantt!D96</f>
        <v>Critical</v>
      </c>
      <c r="E37" s="58">
        <f>IF(Gantt!E96="","",Gantt!E96)</f>
        <v>12</v>
      </c>
      <c r="F37" s="58">
        <f>IF(Gantt!F96="","",Gantt!F96)</f>
        <v>42</v>
      </c>
      <c r="G37" s="58">
        <f>IF(Gantt!G96="","",Gantt!G96)</f>
        <v>48</v>
      </c>
      <c r="H37" s="58" t="str">
        <f>IF(Gantt!E97="","",Gantt!E97)</f>
        <v/>
      </c>
      <c r="I37" s="58" t="str">
        <f>IF(Gantt!F97="","",Gantt!F97)</f>
        <v/>
      </c>
      <c r="J37" s="58" t="str">
        <f>IF(Gantt!G97="","",Gantt!G97)</f>
        <v/>
      </c>
      <c r="K37" s="59" t="str">
        <f>IF(Gantt!I97="","",Gantt!I97)</f>
        <v/>
      </c>
      <c r="L37" s="55" t="str">
        <f t="shared" si="0"/>
        <v>Not started</v>
      </c>
      <c r="M37" s="60" t="s">
        <v>196</v>
      </c>
      <c r="N37" s="60"/>
    </row>
    <row r="38" spans="1:14" x14ac:dyDescent="0.2">
      <c r="A38" s="55" t="s">
        <v>126</v>
      </c>
      <c r="B38" s="56" t="s">
        <v>118</v>
      </c>
      <c r="C38" s="57" t="str">
        <f>Gantt!B98</f>
        <v>Final review + submission prep</v>
      </c>
      <c r="D38" s="58" t="str">
        <f>Gantt!D98</f>
        <v>Critical</v>
      </c>
      <c r="E38" s="58">
        <f>IF(Gantt!E98="","",Gantt!E98)</f>
        <v>3</v>
      </c>
      <c r="F38" s="58">
        <f>IF(Gantt!F98="","",Gantt!F98)</f>
        <v>49</v>
      </c>
      <c r="G38" s="58">
        <f>IF(Gantt!G98="","",Gantt!G98)</f>
        <v>50</v>
      </c>
      <c r="H38" s="58" t="str">
        <f>IF(Gantt!E99="","",Gantt!E99)</f>
        <v/>
      </c>
      <c r="I38" s="58" t="str">
        <f>IF(Gantt!F99="","",Gantt!F99)</f>
        <v/>
      </c>
      <c r="J38" s="58" t="str">
        <f>IF(Gantt!G99="","",Gantt!G99)</f>
        <v/>
      </c>
      <c r="K38" s="59" t="str">
        <f>IF(Gantt!I99="","",Gantt!I99)</f>
        <v/>
      </c>
      <c r="L38" s="55" t="str">
        <f t="shared" si="0"/>
        <v>Not started</v>
      </c>
      <c r="M38" s="60" t="s">
        <v>197</v>
      </c>
      <c r="N38" s="60"/>
    </row>
    <row r="39" spans="1:14" x14ac:dyDescent="0.2">
      <c r="A39" s="38"/>
      <c r="B39" s="38"/>
      <c r="C39" s="39" t="s">
        <v>198</v>
      </c>
      <c r="D39" s="38"/>
      <c r="E39" s="39">
        <f>SUM(E4:E38)</f>
        <v>210</v>
      </c>
      <c r="F39" s="38"/>
      <c r="G39" s="38"/>
      <c r="H39" s="39">
        <f>SUM(H4:H38)</f>
        <v>33</v>
      </c>
      <c r="I39" s="38"/>
      <c r="J39" s="38"/>
      <c r="K39" s="38"/>
      <c r="L39" s="39" t="str">
        <f>COUNTIF(L4:L38,"Done*")&amp;" of "&amp;ROWS(L4:L38)&amp;" done"</f>
        <v>6 of 35 done</v>
      </c>
      <c r="M39" s="38"/>
      <c r="N39" s="38"/>
    </row>
    <row r="41" spans="1:14" x14ac:dyDescent="0.2">
      <c r="A41" s="53" t="s">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heetViews>
  <sheetFormatPr baseColWidth="10" defaultColWidth="8.83203125" defaultRowHeight="15" x14ac:dyDescent="0.2"/>
  <cols>
    <col min="1" max="1" width="6.5" customWidth="1"/>
    <col min="2" max="2" width="8.5" customWidth="1"/>
    <col min="3" max="4" width="9" customWidth="1"/>
    <col min="5" max="5" width="8" customWidth="1"/>
    <col min="6" max="7" width="48" customWidth="1"/>
  </cols>
  <sheetData>
    <row r="1" spans="1:7" ht="17" x14ac:dyDescent="0.2">
      <c r="A1" s="1" t="s">
        <v>200</v>
      </c>
    </row>
    <row r="3" spans="1:7" ht="28" x14ac:dyDescent="0.2">
      <c r="A3" s="61" t="s">
        <v>13</v>
      </c>
      <c r="B3" s="61" t="s">
        <v>201</v>
      </c>
      <c r="C3" s="61" t="s">
        <v>202</v>
      </c>
      <c r="D3" s="61" t="s">
        <v>203</v>
      </c>
      <c r="E3" s="61" t="s">
        <v>12</v>
      </c>
      <c r="F3" s="61" t="s">
        <v>204</v>
      </c>
      <c r="G3" s="61" t="s">
        <v>205</v>
      </c>
    </row>
    <row r="4" spans="1:7" ht="28" x14ac:dyDescent="0.2">
      <c r="A4" s="62" t="s">
        <v>40</v>
      </c>
      <c r="B4" s="63" t="s">
        <v>38</v>
      </c>
      <c r="C4" s="64">
        <f>Gantt!G16</f>
        <v>5</v>
      </c>
      <c r="D4" s="64">
        <f>IF(Gantt!G17="","",Gantt!G17)</f>
        <v>5</v>
      </c>
      <c r="E4" s="65">
        <f>IF(D4="","",D4-C4)</f>
        <v>0</v>
      </c>
      <c r="F4" s="66" t="s">
        <v>206</v>
      </c>
      <c r="G4" s="66" t="s">
        <v>207</v>
      </c>
    </row>
    <row r="5" spans="1:7" x14ac:dyDescent="0.2">
      <c r="A5" s="62" t="s">
        <v>63</v>
      </c>
      <c r="B5" s="63" t="s">
        <v>61</v>
      </c>
      <c r="C5" s="64">
        <f>Gantt!G38</f>
        <v>20</v>
      </c>
      <c r="D5" s="64" t="str">
        <f>IF(Gantt!G39="","",Gantt!G39)</f>
        <v/>
      </c>
      <c r="E5" s="65" t="str">
        <f>IF(D5="","",D5-C5)</f>
        <v/>
      </c>
      <c r="F5" s="66" t="s">
        <v>208</v>
      </c>
      <c r="G5" s="66" t="s">
        <v>209</v>
      </c>
    </row>
    <row r="6" spans="1:7" x14ac:dyDescent="0.2">
      <c r="A6" s="62" t="s">
        <v>108</v>
      </c>
      <c r="B6" s="63" t="s">
        <v>106</v>
      </c>
      <c r="C6" s="64">
        <f>Gantt!G79</f>
        <v>20</v>
      </c>
      <c r="D6" s="64" t="str">
        <f>IF(Gantt!G80="","",Gantt!G80)</f>
        <v/>
      </c>
      <c r="E6" s="65" t="str">
        <f>IF(D6="","",D6-C6)</f>
        <v/>
      </c>
      <c r="F6" s="66" t="s">
        <v>210</v>
      </c>
      <c r="G6" s="66" t="s">
        <v>211</v>
      </c>
    </row>
    <row r="7" spans="1:7" ht="28" x14ac:dyDescent="0.2">
      <c r="A7" s="62" t="s">
        <v>74</v>
      </c>
      <c r="B7" s="63" t="s">
        <v>72</v>
      </c>
      <c r="C7" s="64">
        <f>Gantt!G48</f>
        <v>30</v>
      </c>
      <c r="D7" s="64" t="str">
        <f>IF(Gantt!G49="","",Gantt!G49)</f>
        <v/>
      </c>
      <c r="E7" s="65" t="str">
        <f>IF(D7="","",D7-C7)</f>
        <v/>
      </c>
      <c r="F7" s="66" t="s">
        <v>212</v>
      </c>
      <c r="G7" s="66" t="s">
        <v>213</v>
      </c>
    </row>
    <row r="8" spans="1:7" x14ac:dyDescent="0.2">
      <c r="A8" s="62" t="s">
        <v>81</v>
      </c>
      <c r="B8" s="63" t="s">
        <v>79</v>
      </c>
      <c r="C8" s="64">
        <f>Gantt!G54</f>
        <v>35</v>
      </c>
      <c r="D8" s="64" t="str">
        <f>IF(Gantt!G55="","",Gantt!G55)</f>
        <v/>
      </c>
      <c r="E8" s="65" t="str">
        <f>IF(D8="","",D8-C8)</f>
        <v/>
      </c>
      <c r="F8" s="66" t="s">
        <v>214</v>
      </c>
      <c r="G8" s="66" t="s">
        <v>215</v>
      </c>
    </row>
    <row r="10" spans="1:7" ht="48" customHeight="1" x14ac:dyDescent="0.2">
      <c r="A10" s="41" t="s">
        <v>216</v>
      </c>
      <c r="B10" s="69" t="s">
        <v>217</v>
      </c>
      <c r="C10" s="70"/>
      <c r="D10" s="70"/>
      <c r="E10" s="70"/>
      <c r="F10" s="70"/>
      <c r="G10" s="70"/>
    </row>
  </sheetData>
  <mergeCells count="1">
    <mergeCell ref="B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Gantt</vt:lpstr>
      <vt:lpstr>Task Details</vt:lpstr>
      <vt:lpstr>Decision Gates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Joseph Santua Avelino</cp:lastModifiedBy>
  <dcterms:created xsi:type="dcterms:W3CDTF">2026-10-08T04:53:00Z</dcterms:created>
  <dcterms:modified xsi:type="dcterms:W3CDTF">2026-10-09T02:13:10Z</dcterms:modified>
</cp:coreProperties>
</file>